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ECOMSALESSOLUTION\Work\Oramass\LOT - 6 - Done\"/>
    </mc:Choice>
  </mc:AlternateContent>
  <xr:revisionPtr revIDLastSave="0" documentId="13_ncr:1_{F41C101E-267C-4D71-96D2-FF94B682C17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ING" sheetId="1" r:id="rId1"/>
    <sheet name="EARRINGS" sheetId="2" r:id="rId2"/>
    <sheet name="PENDANT" sheetId="3" r:id="rId3"/>
    <sheet name="BRACELET" sheetId="4" r:id="rId4"/>
    <sheet name="BACKEND" sheetId="5" state="hidden" r:id="rId5"/>
  </sheets>
  <definedNames>
    <definedName name="_xlnm._FilterDatabase" localSheetId="0" hidden="1">RING!$P$1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4" l="1"/>
  <c r="R6" i="4"/>
  <c r="R5" i="4"/>
  <c r="R4" i="4"/>
  <c r="R3" i="4"/>
  <c r="R2" i="4"/>
  <c r="R7" i="3"/>
  <c r="R6" i="3"/>
  <c r="R5" i="3"/>
  <c r="R4" i="3"/>
  <c r="R3" i="3"/>
  <c r="R2" i="3"/>
  <c r="R7" i="2"/>
  <c r="R6" i="2"/>
  <c r="R5" i="2"/>
  <c r="R4" i="2"/>
  <c r="R3" i="2"/>
  <c r="R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G3" i="5"/>
  <c r="F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Jewellary_Priyank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Jewellary_Priyank:
GOLD NET WEIGHT IN GRAM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Jewellary_Priyank</author>
  </authors>
  <commentList>
    <comment ref="G1" authorId="0" shapeId="0" xr:uid="{F0EF6C1A-4F5B-4238-876A-38957E657A1B}">
      <text>
        <r>
          <rPr>
            <sz val="11"/>
            <color theme="1"/>
            <rFont val="Calibri"/>
            <family val="2"/>
            <scheme val="minor"/>
          </rPr>
          <t>Jewellary_Priyank:
GOLD NET WEIGHT IN GRAM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Jewellary_Priyank</author>
  </authors>
  <commentList>
    <comment ref="G1" authorId="0" shapeId="0" xr:uid="{9AC91493-F134-4F81-BAED-00DBCF1FAB15}">
      <text>
        <r>
          <rPr>
            <sz val="11"/>
            <color theme="1"/>
            <rFont val="Calibri"/>
            <family val="2"/>
            <scheme val="minor"/>
          </rPr>
          <t>Jewellary_Priyank:
GOLD NET WEIGHT IN GRAM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Jewellary_Priyank</author>
  </authors>
  <commentList>
    <comment ref="G1" authorId="0" shapeId="0" xr:uid="{28E24065-5891-4EA7-BC13-DACBC263B975}">
      <text>
        <r>
          <rPr>
            <sz val="11"/>
            <color theme="1"/>
            <rFont val="Calibri"/>
            <family val="2"/>
            <scheme val="minor"/>
          </rPr>
          <t>Jewellary_Priyank:
GOLD NET WEIGHT IN GRAM</t>
        </r>
      </text>
    </comment>
  </commentList>
</comments>
</file>

<file path=xl/sharedStrings.xml><?xml version="1.0" encoding="utf-8"?>
<sst xmlns="http://schemas.openxmlformats.org/spreadsheetml/2006/main" count="798" uniqueCount="97">
  <si>
    <t>CATEGORY</t>
  </si>
  <si>
    <t>SKU</t>
  </si>
  <si>
    <t>Certified</t>
  </si>
  <si>
    <t>GOLD_KT</t>
  </si>
  <si>
    <t>GOLD_COLOR</t>
  </si>
  <si>
    <t>GOLD_WEIGHT</t>
  </si>
  <si>
    <t>CENTER_DIAMOND_CLARITY</t>
  </si>
  <si>
    <t>CENTER_DIAMOND_COLOR</t>
  </si>
  <si>
    <t>CENTER_STONE_SHAPE</t>
  </si>
  <si>
    <t>CENTER_STONE_WEIGHT</t>
  </si>
  <si>
    <t>SIDE_STONE_SHAPE</t>
  </si>
  <si>
    <t>SIDE_STONE_WEIGHT</t>
  </si>
  <si>
    <t>SIDE_STONE_COLOR_CLARITY</t>
  </si>
  <si>
    <t>SETTING</t>
  </si>
  <si>
    <t>TOTAL_DIAMOND_PCS</t>
  </si>
  <si>
    <t>COST_USD</t>
  </si>
  <si>
    <t>SELLING_PRICE_USD</t>
  </si>
  <si>
    <t>extra for discount</t>
  </si>
  <si>
    <t>Portal fee</t>
  </si>
  <si>
    <t xml:space="preserve">ebay fee </t>
  </si>
  <si>
    <t>USD_ON_HAND</t>
  </si>
  <si>
    <t>DIS</t>
  </si>
  <si>
    <t>IGI</t>
  </si>
  <si>
    <t>14k</t>
  </si>
  <si>
    <t>White</t>
  </si>
  <si>
    <t>ROUND</t>
  </si>
  <si>
    <t>PRINCESS</t>
  </si>
  <si>
    <t>F-G / VVS-VS</t>
  </si>
  <si>
    <t>PEAR</t>
  </si>
  <si>
    <t>engagement ring</t>
  </si>
  <si>
    <t>CUSHION</t>
  </si>
  <si>
    <t>RADIANT</t>
  </si>
  <si>
    <t>ROUND &amp; MARQUISE</t>
  </si>
  <si>
    <t>LOT</t>
  </si>
  <si>
    <t>ORM013LR-101</t>
  </si>
  <si>
    <t>ORM013LR-102</t>
  </si>
  <si>
    <t>ORM013LR-103</t>
  </si>
  <si>
    <t>ORM013LR-104</t>
  </si>
  <si>
    <t>ORM013LR-105</t>
  </si>
  <si>
    <t>ORM013LR-106</t>
  </si>
  <si>
    <t>ORM013LR-107</t>
  </si>
  <si>
    <t>ORM013LR-108</t>
  </si>
  <si>
    <t>ORM013LR-112</t>
  </si>
  <si>
    <t>ORM013LR-113</t>
  </si>
  <si>
    <t>ORM013LR-115</t>
  </si>
  <si>
    <t>ORM013LR-116</t>
  </si>
  <si>
    <t>ORM013LR-117</t>
  </si>
  <si>
    <t>ORM013LR-118</t>
  </si>
  <si>
    <t>ORM013LR-119</t>
  </si>
  <si>
    <t>ORM013LR-120</t>
  </si>
  <si>
    <t>ORM013LR-121</t>
  </si>
  <si>
    <t>ORM013LR-122</t>
  </si>
  <si>
    <t>ORM013LR-123</t>
  </si>
  <si>
    <t>ORM013LR-124</t>
  </si>
  <si>
    <t>ORM013LR-125</t>
  </si>
  <si>
    <t>ORM013LR-126</t>
  </si>
  <si>
    <t>ORM013LR-127</t>
  </si>
  <si>
    <t>ORM013LR-128</t>
  </si>
  <si>
    <t>ORM013LR-129</t>
  </si>
  <si>
    <t>ORM013LR-130</t>
  </si>
  <si>
    <t>ORM013LR-131</t>
  </si>
  <si>
    <t>ORM013LR-132</t>
  </si>
  <si>
    <t>ORM013LR-133</t>
  </si>
  <si>
    <t>ORM013LR-134</t>
  </si>
  <si>
    <t>ORM013LR-135</t>
  </si>
  <si>
    <t>ORM013LR-136</t>
  </si>
  <si>
    <t>ORM013LR-137</t>
  </si>
  <si>
    <t>ORM013LR-138</t>
  </si>
  <si>
    <t>ORM013LR-139</t>
  </si>
  <si>
    <t>ORM013LR-140</t>
  </si>
  <si>
    <t>ORM013LR-141</t>
  </si>
  <si>
    <t>ORM013LR-142</t>
  </si>
  <si>
    <t>ORM013LR-143</t>
  </si>
  <si>
    <t>ORM013LR-144</t>
  </si>
  <si>
    <t>ORM013LR-145</t>
  </si>
  <si>
    <t>ORM013LR-146</t>
  </si>
  <si>
    <t>ORM013LR-147</t>
  </si>
  <si>
    <t>ORM013LR-148</t>
  </si>
  <si>
    <t>ORM013LR-149</t>
  </si>
  <si>
    <t>ORM013LR-150</t>
  </si>
  <si>
    <t>OVAL</t>
  </si>
  <si>
    <t>ROUND - OVAL</t>
  </si>
  <si>
    <t>EMRALD</t>
  </si>
  <si>
    <t>MARQUISE</t>
  </si>
  <si>
    <t>VS1 or Higher</t>
  </si>
  <si>
    <t>F or Higher</t>
  </si>
  <si>
    <t>EMRALD, MARQUICE &amp; PEAR</t>
  </si>
  <si>
    <t>ROUNF &amp; PEAR</t>
  </si>
  <si>
    <t>as shown in picture</t>
  </si>
  <si>
    <t>ORM013LR-109ssx</t>
  </si>
  <si>
    <t>ORM013LR-110bbx</t>
  </si>
  <si>
    <t>ORM013LR-111bbx</t>
  </si>
  <si>
    <t>ORM013LR-114bbx</t>
  </si>
  <si>
    <t>Yellow</t>
  </si>
  <si>
    <t>earrings</t>
  </si>
  <si>
    <t>pendant</t>
  </si>
  <si>
    <t>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</si>
</sst>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1" fillId="7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2" fontId="0" fillId="0" borderId="0" xfId="0" applyNumberFormat="1"/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/>
    <xf numFmtId="0" fontId="0" fillId="0" borderId="0" xfId="0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2" fontId="1" fillId="6" borderId="1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15" zoomScaleNormal="100" workbookViewId="0">
      <selection sqref="A1:XFD51"/>
    </sheetView>
  </sheetViews>
  <sheetFormatPr defaultRowHeight="15" x14ac:dyDescent="0.25"/>
  <cols>
    <col min="1" max="1" width="4.28515625" style="1" bestFit="1" customWidth="1"/>
    <col min="2" max="2" width="16.140625" style="1" bestFit="1" customWidth="1"/>
    <col min="3" max="3" width="17.5703125" style="1" bestFit="1" customWidth="1"/>
    <col min="4" max="4" width="8.85546875" style="1" bestFit="1" customWidth="1"/>
    <col min="5" max="5" width="9.140625" style="1" bestFit="1" customWidth="1"/>
    <col min="6" max="6" width="13.140625" style="1" bestFit="1" customWidth="1"/>
    <col min="7" max="7" width="14.42578125" style="1" bestFit="1" customWidth="1"/>
    <col min="8" max="8" width="26.5703125" style="1" bestFit="1" customWidth="1"/>
    <col min="9" max="9" width="25.28515625" style="1" bestFit="1" customWidth="1"/>
    <col min="10" max="10" width="26.28515625" style="1" bestFit="1" customWidth="1"/>
    <col min="11" max="11" width="23.28515625" style="13" bestFit="1" customWidth="1"/>
    <col min="12" max="12" width="19.5703125" style="1" bestFit="1" customWidth="1"/>
    <col min="13" max="13" width="20.28515625" style="1" bestFit="1" customWidth="1"/>
    <col min="14" max="14" width="27.42578125" style="1" bestFit="1" customWidth="1"/>
    <col min="15" max="15" width="18.28515625" style="1" bestFit="1" customWidth="1"/>
    <col min="16" max="16" width="26" style="1" bestFit="1" customWidth="1"/>
    <col min="17" max="17" width="10.28515625" style="1" bestFit="1" customWidth="1"/>
    <col min="18" max="18" width="18.85546875" style="1" bestFit="1" customWidth="1"/>
    <col min="19" max="139" width="9.140625" style="1" customWidth="1"/>
    <col min="140" max="16384" width="9.140625" style="1"/>
  </cols>
  <sheetData>
    <row r="1" spans="1:18" ht="15.75" customHeight="1" thickBot="1" x14ac:dyDescent="0.3">
      <c r="A1" s="1" t="s">
        <v>33</v>
      </c>
      <c r="B1" s="2" t="s">
        <v>0</v>
      </c>
      <c r="C1" s="3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14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3" t="s">
        <v>14</v>
      </c>
      <c r="Q1" s="4" t="s">
        <v>15</v>
      </c>
      <c r="R1" s="10" t="s">
        <v>16</v>
      </c>
    </row>
    <row r="2" spans="1:18" x14ac:dyDescent="0.25">
      <c r="A2" s="1">
        <v>6</v>
      </c>
      <c r="B2" s="1" t="s">
        <v>29</v>
      </c>
      <c r="C2" s="1" t="s">
        <v>34</v>
      </c>
      <c r="D2" s="1" t="s">
        <v>22</v>
      </c>
      <c r="E2" s="1" t="s">
        <v>23</v>
      </c>
      <c r="F2" s="1" t="s">
        <v>24</v>
      </c>
      <c r="G2" s="1">
        <v>3.2</v>
      </c>
      <c r="H2" s="1" t="s">
        <v>84</v>
      </c>
      <c r="I2" s="1" t="s">
        <v>85</v>
      </c>
      <c r="J2" s="1" t="s">
        <v>25</v>
      </c>
      <c r="K2" s="13">
        <v>2.1</v>
      </c>
      <c r="L2" s="1" t="s">
        <v>25</v>
      </c>
      <c r="M2" s="13">
        <v>0.315</v>
      </c>
      <c r="N2" s="1" t="s">
        <v>27</v>
      </c>
      <c r="O2" s="1" t="s">
        <v>88</v>
      </c>
      <c r="P2" s="1">
        <v>27</v>
      </c>
      <c r="Q2" s="1">
        <v>1109.49</v>
      </c>
      <c r="R2" s="13">
        <f>(Q2+80)/0.8</f>
        <v>1486.8625</v>
      </c>
    </row>
    <row r="3" spans="1:18" x14ac:dyDescent="0.25">
      <c r="A3" s="1">
        <v>6</v>
      </c>
      <c r="B3" s="1" t="s">
        <v>29</v>
      </c>
      <c r="C3" s="1" t="s">
        <v>35</v>
      </c>
      <c r="D3" s="1" t="s">
        <v>22</v>
      </c>
      <c r="E3" s="1" t="s">
        <v>23</v>
      </c>
      <c r="F3" s="1" t="s">
        <v>24</v>
      </c>
      <c r="G3" s="1">
        <v>3</v>
      </c>
      <c r="H3" s="1" t="s">
        <v>84</v>
      </c>
      <c r="I3" s="1" t="s">
        <v>85</v>
      </c>
      <c r="J3" s="1" t="s">
        <v>26</v>
      </c>
      <c r="K3" s="13">
        <v>1.3</v>
      </c>
      <c r="M3" s="13"/>
      <c r="N3" s="1" t="s">
        <v>27</v>
      </c>
      <c r="O3" s="1" t="s">
        <v>88</v>
      </c>
      <c r="P3" s="1">
        <v>2</v>
      </c>
      <c r="Q3" s="1">
        <v>922.11</v>
      </c>
      <c r="R3" s="13">
        <f t="shared" ref="R3:R51" si="0">(Q3+80)/0.8</f>
        <v>1252.6375</v>
      </c>
    </row>
    <row r="4" spans="1:18" x14ac:dyDescent="0.25">
      <c r="A4" s="1">
        <v>6</v>
      </c>
      <c r="B4" s="1" t="s">
        <v>29</v>
      </c>
      <c r="C4" s="1" t="s">
        <v>36</v>
      </c>
      <c r="D4" s="1" t="s">
        <v>22</v>
      </c>
      <c r="E4" s="1" t="s">
        <v>23</v>
      </c>
      <c r="F4" s="1" t="s">
        <v>24</v>
      </c>
      <c r="G4" s="1">
        <v>3</v>
      </c>
      <c r="H4" s="1" t="s">
        <v>84</v>
      </c>
      <c r="I4" s="1" t="s">
        <v>85</v>
      </c>
      <c r="J4" s="1" t="s">
        <v>26</v>
      </c>
      <c r="K4" s="13">
        <v>1</v>
      </c>
      <c r="M4" s="13"/>
      <c r="N4" s="1" t="s">
        <v>27</v>
      </c>
      <c r="O4" s="1" t="s">
        <v>88</v>
      </c>
      <c r="P4" s="1">
        <v>2</v>
      </c>
      <c r="Q4" s="1">
        <v>884.21</v>
      </c>
      <c r="R4" s="13">
        <f t="shared" si="0"/>
        <v>1205.2625</v>
      </c>
    </row>
    <row r="5" spans="1:18" x14ac:dyDescent="0.25">
      <c r="A5" s="1">
        <v>6</v>
      </c>
      <c r="B5" s="1" t="s">
        <v>29</v>
      </c>
      <c r="C5" s="1" t="s">
        <v>37</v>
      </c>
      <c r="D5" s="1" t="s">
        <v>22</v>
      </c>
      <c r="E5" s="1" t="s">
        <v>23</v>
      </c>
      <c r="F5" s="1" t="s">
        <v>24</v>
      </c>
      <c r="G5" s="1">
        <v>4.2</v>
      </c>
      <c r="H5" s="1" t="s">
        <v>84</v>
      </c>
      <c r="I5" s="1" t="s">
        <v>85</v>
      </c>
      <c r="J5" s="1" t="s">
        <v>86</v>
      </c>
      <c r="K5" s="13">
        <v>0.65</v>
      </c>
      <c r="L5" s="1" t="s">
        <v>25</v>
      </c>
      <c r="M5" s="13">
        <v>0.3</v>
      </c>
      <c r="N5" s="1" t="s">
        <v>27</v>
      </c>
      <c r="O5" s="1" t="s">
        <v>88</v>
      </c>
      <c r="P5" s="1">
        <v>60</v>
      </c>
      <c r="Q5" s="1">
        <v>1177.26</v>
      </c>
      <c r="R5" s="13">
        <f t="shared" si="0"/>
        <v>1571.5749999999998</v>
      </c>
    </row>
    <row r="6" spans="1:18" x14ac:dyDescent="0.25">
      <c r="A6" s="1">
        <v>6</v>
      </c>
      <c r="B6" s="1" t="s">
        <v>29</v>
      </c>
      <c r="C6" s="1" t="s">
        <v>38</v>
      </c>
      <c r="D6" s="1" t="s">
        <v>22</v>
      </c>
      <c r="E6" s="1" t="s">
        <v>23</v>
      </c>
      <c r="F6" s="1" t="s">
        <v>24</v>
      </c>
      <c r="G6" s="1">
        <v>4.2</v>
      </c>
      <c r="H6" s="1" t="s">
        <v>84</v>
      </c>
      <c r="I6" s="1" t="s">
        <v>85</v>
      </c>
      <c r="J6" s="1" t="s">
        <v>25</v>
      </c>
      <c r="K6" s="13">
        <v>1</v>
      </c>
      <c r="L6" s="1" t="s">
        <v>25</v>
      </c>
      <c r="M6" s="13">
        <v>0.32</v>
      </c>
      <c r="N6" s="1" t="s">
        <v>27</v>
      </c>
      <c r="O6" s="1" t="s">
        <v>88</v>
      </c>
      <c r="P6" s="1">
        <v>35</v>
      </c>
      <c r="Q6" s="1">
        <v>1223.75</v>
      </c>
      <c r="R6" s="13">
        <f t="shared" si="0"/>
        <v>1629.6875</v>
      </c>
    </row>
    <row r="7" spans="1:18" x14ac:dyDescent="0.25">
      <c r="A7" s="1">
        <v>6</v>
      </c>
      <c r="B7" s="1" t="s">
        <v>29</v>
      </c>
      <c r="C7" s="1" t="s">
        <v>39</v>
      </c>
      <c r="D7" s="1" t="s">
        <v>22</v>
      </c>
      <c r="E7" s="1" t="s">
        <v>23</v>
      </c>
      <c r="F7" s="1" t="s">
        <v>24</v>
      </c>
      <c r="G7" s="1">
        <v>3</v>
      </c>
      <c r="H7" s="1" t="s">
        <v>84</v>
      </c>
      <c r="I7" s="1" t="s">
        <v>85</v>
      </c>
      <c r="J7" s="1" t="s">
        <v>80</v>
      </c>
      <c r="K7" s="13">
        <v>1</v>
      </c>
      <c r="L7" s="1" t="s">
        <v>25</v>
      </c>
      <c r="M7" s="13">
        <v>0.55000000000000004</v>
      </c>
      <c r="N7" s="1" t="s">
        <v>27</v>
      </c>
      <c r="O7" s="1" t="s">
        <v>88</v>
      </c>
      <c r="P7" s="1">
        <v>13</v>
      </c>
      <c r="Q7" s="1">
        <v>946.74</v>
      </c>
      <c r="R7" s="13">
        <f t="shared" si="0"/>
        <v>1283.425</v>
      </c>
    </row>
    <row r="8" spans="1:18" x14ac:dyDescent="0.25">
      <c r="A8" s="1">
        <v>6</v>
      </c>
      <c r="B8" s="1" t="s">
        <v>29</v>
      </c>
      <c r="C8" s="1" t="s">
        <v>40</v>
      </c>
      <c r="D8" s="1" t="s">
        <v>22</v>
      </c>
      <c r="E8" s="1" t="s">
        <v>23</v>
      </c>
      <c r="F8" s="1" t="s">
        <v>24</v>
      </c>
      <c r="G8" s="1">
        <v>3.5</v>
      </c>
      <c r="H8" s="1" t="s">
        <v>84</v>
      </c>
      <c r="I8" s="1" t="s">
        <v>85</v>
      </c>
      <c r="J8" s="1" t="s">
        <v>81</v>
      </c>
      <c r="K8" s="13">
        <v>2.8</v>
      </c>
      <c r="L8" s="1" t="s">
        <v>25</v>
      </c>
      <c r="M8" s="13">
        <v>0.3</v>
      </c>
      <c r="N8" s="1" t="s">
        <v>27</v>
      </c>
      <c r="O8" s="1" t="s">
        <v>88</v>
      </c>
      <c r="P8" s="1">
        <v>23</v>
      </c>
      <c r="Q8" s="1">
        <v>1272</v>
      </c>
      <c r="R8" s="13">
        <f t="shared" si="0"/>
        <v>1690</v>
      </c>
    </row>
    <row r="9" spans="1:18" x14ac:dyDescent="0.25">
      <c r="A9" s="1">
        <v>6</v>
      </c>
      <c r="B9" s="1" t="s">
        <v>29</v>
      </c>
      <c r="C9" s="1" t="s">
        <v>41</v>
      </c>
      <c r="D9" s="1" t="s">
        <v>22</v>
      </c>
      <c r="E9" s="1" t="s">
        <v>23</v>
      </c>
      <c r="F9" s="1" t="s">
        <v>24</v>
      </c>
      <c r="G9" s="1">
        <v>3.5</v>
      </c>
      <c r="H9" s="1" t="s">
        <v>84</v>
      </c>
      <c r="I9" s="1" t="s">
        <v>85</v>
      </c>
      <c r="J9" s="1" t="s">
        <v>31</v>
      </c>
      <c r="K9" s="13">
        <v>2</v>
      </c>
      <c r="L9" s="1" t="s">
        <v>25</v>
      </c>
      <c r="M9" s="13">
        <v>0.3</v>
      </c>
      <c r="N9" s="1" t="s">
        <v>27</v>
      </c>
      <c r="O9" s="1" t="s">
        <v>88</v>
      </c>
      <c r="P9" s="1">
        <v>49</v>
      </c>
      <c r="Q9" s="1">
        <v>1170.95</v>
      </c>
      <c r="R9" s="13">
        <f t="shared" si="0"/>
        <v>1563.6875</v>
      </c>
    </row>
    <row r="10" spans="1:18" x14ac:dyDescent="0.25">
      <c r="A10" s="1">
        <v>6</v>
      </c>
      <c r="B10" s="1" t="s">
        <v>29</v>
      </c>
      <c r="C10" s="1" t="s">
        <v>89</v>
      </c>
      <c r="D10" s="1" t="s">
        <v>22</v>
      </c>
      <c r="E10" s="1" t="s">
        <v>23</v>
      </c>
      <c r="F10" s="1" t="s">
        <v>24</v>
      </c>
      <c r="G10" s="1">
        <v>7.5</v>
      </c>
      <c r="H10" s="1" t="s">
        <v>84</v>
      </c>
      <c r="I10" s="1" t="s">
        <v>85</v>
      </c>
      <c r="J10" s="1" t="s">
        <v>30</v>
      </c>
      <c r="K10" s="13">
        <v>3</v>
      </c>
      <c r="L10" s="1" t="s">
        <v>25</v>
      </c>
      <c r="M10" s="13">
        <v>0.5</v>
      </c>
      <c r="N10" s="1" t="s">
        <v>27</v>
      </c>
      <c r="O10" s="1" t="s">
        <v>88</v>
      </c>
      <c r="P10" s="1">
        <v>43</v>
      </c>
      <c r="Q10" s="1">
        <v>2330.5300000000002</v>
      </c>
      <c r="R10" s="13">
        <f t="shared" si="0"/>
        <v>3013.1624999999999</v>
      </c>
    </row>
    <row r="11" spans="1:18" x14ac:dyDescent="0.25">
      <c r="A11" s="1">
        <v>6</v>
      </c>
      <c r="B11" s="1" t="s">
        <v>29</v>
      </c>
      <c r="C11" s="1" t="s">
        <v>90</v>
      </c>
      <c r="D11" s="1" t="s">
        <v>22</v>
      </c>
      <c r="E11" s="1" t="s">
        <v>23</v>
      </c>
      <c r="F11" s="1" t="s">
        <v>24</v>
      </c>
      <c r="G11" s="1">
        <v>2</v>
      </c>
      <c r="H11" s="1" t="s">
        <v>84</v>
      </c>
      <c r="I11" s="1" t="s">
        <v>85</v>
      </c>
      <c r="J11" s="1" t="s">
        <v>26</v>
      </c>
      <c r="K11" s="13">
        <v>0.65</v>
      </c>
      <c r="M11" s="13"/>
      <c r="N11" s="1" t="s">
        <v>27</v>
      </c>
      <c r="O11" s="1" t="s">
        <v>88</v>
      </c>
      <c r="P11" s="1">
        <v>5</v>
      </c>
      <c r="Q11" s="1">
        <v>587.37</v>
      </c>
      <c r="R11" s="13">
        <f t="shared" si="0"/>
        <v>834.21249999999998</v>
      </c>
    </row>
    <row r="12" spans="1:18" x14ac:dyDescent="0.25">
      <c r="A12" s="1">
        <v>6</v>
      </c>
      <c r="B12" s="1" t="s">
        <v>29</v>
      </c>
      <c r="C12" s="1" t="s">
        <v>91</v>
      </c>
      <c r="D12" s="1" t="s">
        <v>22</v>
      </c>
      <c r="E12" s="1" t="s">
        <v>23</v>
      </c>
      <c r="F12" s="1" t="s">
        <v>24</v>
      </c>
      <c r="G12" s="1">
        <v>10</v>
      </c>
      <c r="H12" s="1" t="s">
        <v>84</v>
      </c>
      <c r="I12" s="1" t="s">
        <v>85</v>
      </c>
      <c r="J12" s="1" t="s">
        <v>25</v>
      </c>
      <c r="K12" s="13">
        <v>2.75</v>
      </c>
      <c r="M12" s="13"/>
      <c r="N12" s="1" t="s">
        <v>27</v>
      </c>
      <c r="O12" s="1" t="s">
        <v>88</v>
      </c>
      <c r="P12" s="1">
        <v>5</v>
      </c>
      <c r="Q12" s="1">
        <v>2873.68</v>
      </c>
      <c r="R12" s="13">
        <f t="shared" si="0"/>
        <v>3692.0999999999995</v>
      </c>
    </row>
    <row r="13" spans="1:18" x14ac:dyDescent="0.25">
      <c r="A13" s="1">
        <v>6</v>
      </c>
      <c r="B13" s="1" t="s">
        <v>29</v>
      </c>
      <c r="C13" s="1" t="s">
        <v>42</v>
      </c>
      <c r="D13" s="1" t="s">
        <v>22</v>
      </c>
      <c r="E13" s="1" t="s">
        <v>23</v>
      </c>
      <c r="F13" s="1" t="s">
        <v>24</v>
      </c>
      <c r="G13" s="1">
        <v>3</v>
      </c>
      <c r="H13" s="1" t="s">
        <v>84</v>
      </c>
      <c r="I13" s="1" t="s">
        <v>85</v>
      </c>
      <c r="J13" s="1" t="s">
        <v>25</v>
      </c>
      <c r="K13" s="13">
        <v>0.85</v>
      </c>
      <c r="L13" s="1" t="s">
        <v>25</v>
      </c>
      <c r="M13" s="13">
        <v>0.04</v>
      </c>
      <c r="N13" s="1" t="s">
        <v>27</v>
      </c>
      <c r="O13" s="1" t="s">
        <v>88</v>
      </c>
      <c r="P13" s="1">
        <v>5</v>
      </c>
      <c r="Q13" s="1">
        <v>869.81</v>
      </c>
      <c r="R13" s="13">
        <f t="shared" si="0"/>
        <v>1187.2624999999998</v>
      </c>
    </row>
    <row r="14" spans="1:18" x14ac:dyDescent="0.25">
      <c r="A14" s="1">
        <v>6</v>
      </c>
      <c r="B14" s="1" t="s">
        <v>29</v>
      </c>
      <c r="C14" s="1" t="s">
        <v>43</v>
      </c>
      <c r="D14" s="1" t="s">
        <v>22</v>
      </c>
      <c r="E14" s="1" t="s">
        <v>23</v>
      </c>
      <c r="F14" s="1" t="s">
        <v>24</v>
      </c>
      <c r="G14" s="1">
        <v>4.5</v>
      </c>
      <c r="H14" s="1" t="s">
        <v>84</v>
      </c>
      <c r="I14" s="1" t="s">
        <v>85</v>
      </c>
      <c r="J14" s="1" t="s">
        <v>25</v>
      </c>
      <c r="K14" s="13">
        <v>1.5</v>
      </c>
      <c r="L14" s="1" t="s">
        <v>25</v>
      </c>
      <c r="M14" s="13">
        <v>0.432</v>
      </c>
      <c r="N14" s="1" t="s">
        <v>27</v>
      </c>
      <c r="O14" s="1" t="s">
        <v>88</v>
      </c>
      <c r="P14" s="1">
        <v>37</v>
      </c>
      <c r="Q14" s="1">
        <v>1375.43</v>
      </c>
      <c r="R14" s="13">
        <f t="shared" si="0"/>
        <v>1819.2874999999999</v>
      </c>
    </row>
    <row r="15" spans="1:18" x14ac:dyDescent="0.25">
      <c r="A15" s="1">
        <v>6</v>
      </c>
      <c r="B15" s="1" t="s">
        <v>29</v>
      </c>
      <c r="C15" s="1" t="s">
        <v>92</v>
      </c>
      <c r="D15" s="1" t="s">
        <v>22</v>
      </c>
      <c r="E15" s="1" t="s">
        <v>23</v>
      </c>
      <c r="F15" s="1" t="s">
        <v>24</v>
      </c>
      <c r="G15" s="1">
        <v>2.5</v>
      </c>
      <c r="H15" s="1" t="s">
        <v>84</v>
      </c>
      <c r="I15" s="1" t="s">
        <v>85</v>
      </c>
      <c r="J15" s="1" t="s">
        <v>25</v>
      </c>
      <c r="K15" s="13">
        <v>1</v>
      </c>
      <c r="M15" s="13"/>
      <c r="N15" s="1" t="s">
        <v>27</v>
      </c>
      <c r="O15" s="1" t="s">
        <v>88</v>
      </c>
      <c r="P15" s="1">
        <v>16</v>
      </c>
      <c r="Q15" s="1">
        <v>757.89</v>
      </c>
      <c r="R15" s="13">
        <f t="shared" si="0"/>
        <v>1047.3625</v>
      </c>
    </row>
    <row r="16" spans="1:18" x14ac:dyDescent="0.25">
      <c r="A16" s="1">
        <v>6</v>
      </c>
      <c r="B16" s="1" t="s">
        <v>29</v>
      </c>
      <c r="C16" s="1" t="s">
        <v>44</v>
      </c>
      <c r="D16" s="1" t="s">
        <v>22</v>
      </c>
      <c r="E16" s="1" t="s">
        <v>23</v>
      </c>
      <c r="F16" s="1" t="s">
        <v>24</v>
      </c>
      <c r="G16" s="1">
        <v>1.5</v>
      </c>
      <c r="H16" s="1" t="s">
        <v>84</v>
      </c>
      <c r="I16" s="1" t="s">
        <v>85</v>
      </c>
      <c r="J16" s="1" t="s">
        <v>25</v>
      </c>
      <c r="K16" s="13">
        <v>0.5</v>
      </c>
      <c r="M16" s="13"/>
      <c r="N16" s="1" t="s">
        <v>27</v>
      </c>
      <c r="O16" s="1" t="s">
        <v>88</v>
      </c>
      <c r="P16" s="1">
        <v>1</v>
      </c>
      <c r="Q16" s="1">
        <v>752.7</v>
      </c>
      <c r="R16" s="13">
        <f t="shared" si="0"/>
        <v>1040.875</v>
      </c>
    </row>
    <row r="17" spans="1:18" x14ac:dyDescent="0.25">
      <c r="A17" s="1">
        <v>6</v>
      </c>
      <c r="B17" s="1" t="s">
        <v>29</v>
      </c>
      <c r="C17" s="1" t="s">
        <v>45</v>
      </c>
      <c r="D17" s="1" t="s">
        <v>22</v>
      </c>
      <c r="E17" s="1" t="s">
        <v>23</v>
      </c>
      <c r="F17" s="1" t="s">
        <v>24</v>
      </c>
      <c r="G17" s="1">
        <v>3.2</v>
      </c>
      <c r="H17" s="1" t="s">
        <v>84</v>
      </c>
      <c r="I17" s="1" t="s">
        <v>85</v>
      </c>
      <c r="J17" s="1" t="s">
        <v>80</v>
      </c>
      <c r="K17" s="13">
        <v>2</v>
      </c>
      <c r="L17" s="1" t="s">
        <v>25</v>
      </c>
      <c r="M17" s="13">
        <v>0.56000000000000005</v>
      </c>
      <c r="N17" s="1" t="s">
        <v>27</v>
      </c>
      <c r="O17" s="1" t="s">
        <v>88</v>
      </c>
      <c r="P17" s="1">
        <v>15</v>
      </c>
      <c r="Q17" s="1">
        <v>1124.72</v>
      </c>
      <c r="R17" s="13">
        <f t="shared" si="0"/>
        <v>1505.8999999999999</v>
      </c>
    </row>
    <row r="18" spans="1:18" x14ac:dyDescent="0.25">
      <c r="A18" s="1">
        <v>6</v>
      </c>
      <c r="B18" s="1" t="s">
        <v>29</v>
      </c>
      <c r="C18" s="1" t="s">
        <v>46</v>
      </c>
      <c r="D18" s="1" t="s">
        <v>22</v>
      </c>
      <c r="E18" s="1" t="s">
        <v>23</v>
      </c>
      <c r="F18" s="1" t="s">
        <v>24</v>
      </c>
      <c r="G18" s="1">
        <v>2.4</v>
      </c>
      <c r="H18" s="1" t="s">
        <v>84</v>
      </c>
      <c r="I18" s="1" t="s">
        <v>85</v>
      </c>
      <c r="J18" s="1" t="s">
        <v>25</v>
      </c>
      <c r="K18" s="13">
        <v>1</v>
      </c>
      <c r="L18" s="1" t="s">
        <v>25</v>
      </c>
      <c r="M18" s="13">
        <v>0.625</v>
      </c>
      <c r="N18" s="1" t="s">
        <v>27</v>
      </c>
      <c r="O18" s="1" t="s">
        <v>88</v>
      </c>
      <c r="P18" s="1">
        <v>38</v>
      </c>
      <c r="Q18" s="1">
        <v>803.68</v>
      </c>
      <c r="R18" s="13">
        <f t="shared" si="0"/>
        <v>1104.5999999999999</v>
      </c>
    </row>
    <row r="19" spans="1:18" x14ac:dyDescent="0.25">
      <c r="A19" s="1">
        <v>6</v>
      </c>
      <c r="B19" s="1" t="s">
        <v>29</v>
      </c>
      <c r="C19" s="1" t="s">
        <v>47</v>
      </c>
      <c r="D19" s="1" t="s">
        <v>22</v>
      </c>
      <c r="E19" s="1" t="s">
        <v>23</v>
      </c>
      <c r="F19" s="1" t="s">
        <v>24</v>
      </c>
      <c r="G19" s="1">
        <v>5</v>
      </c>
      <c r="H19" s="1" t="s">
        <v>84</v>
      </c>
      <c r="I19" s="1" t="s">
        <v>85</v>
      </c>
      <c r="J19" s="1" t="s">
        <v>26</v>
      </c>
      <c r="K19" s="13">
        <v>3</v>
      </c>
      <c r="M19" s="13"/>
      <c r="N19" s="1" t="s">
        <v>27</v>
      </c>
      <c r="O19" s="1" t="s">
        <v>88</v>
      </c>
      <c r="P19" s="1">
        <v>1</v>
      </c>
      <c r="Q19" s="1">
        <v>1642.11</v>
      </c>
      <c r="R19" s="13">
        <f t="shared" si="0"/>
        <v>2152.6374999999998</v>
      </c>
    </row>
    <row r="20" spans="1:18" x14ac:dyDescent="0.25">
      <c r="A20" s="1">
        <v>6</v>
      </c>
      <c r="B20" s="1" t="s">
        <v>29</v>
      </c>
      <c r="C20" s="1" t="s">
        <v>48</v>
      </c>
      <c r="D20" s="1" t="s">
        <v>22</v>
      </c>
      <c r="E20" s="1" t="s">
        <v>23</v>
      </c>
      <c r="F20" s="1" t="s">
        <v>24</v>
      </c>
      <c r="G20" s="1">
        <v>4.5</v>
      </c>
      <c r="H20" s="1" t="s">
        <v>84</v>
      </c>
      <c r="I20" s="1" t="s">
        <v>85</v>
      </c>
      <c r="J20" s="1" t="s">
        <v>26</v>
      </c>
      <c r="K20" s="13">
        <v>1.5</v>
      </c>
      <c r="M20" s="13"/>
      <c r="N20" s="1" t="s">
        <v>27</v>
      </c>
      <c r="O20" s="1" t="s">
        <v>88</v>
      </c>
      <c r="P20" s="1">
        <v>1</v>
      </c>
      <c r="Q20" s="1">
        <v>1326.32</v>
      </c>
      <c r="R20" s="13">
        <f t="shared" si="0"/>
        <v>1757.8999999999999</v>
      </c>
    </row>
    <row r="21" spans="1:18" x14ac:dyDescent="0.25">
      <c r="A21" s="1">
        <v>6</v>
      </c>
      <c r="B21" s="1" t="s">
        <v>29</v>
      </c>
      <c r="C21" s="1" t="s">
        <v>49</v>
      </c>
      <c r="D21" s="1" t="s">
        <v>22</v>
      </c>
      <c r="E21" s="1" t="s">
        <v>23</v>
      </c>
      <c r="F21" s="1" t="s">
        <v>24</v>
      </c>
      <c r="G21" s="1">
        <v>3.2</v>
      </c>
      <c r="H21" s="1" t="s">
        <v>84</v>
      </c>
      <c r="I21" s="1" t="s">
        <v>85</v>
      </c>
      <c r="J21" s="1" t="s">
        <v>26</v>
      </c>
      <c r="K21" s="13">
        <v>2</v>
      </c>
      <c r="M21" s="13"/>
      <c r="N21" s="1" t="s">
        <v>27</v>
      </c>
      <c r="O21" s="1" t="s">
        <v>88</v>
      </c>
      <c r="P21" s="1">
        <v>1</v>
      </c>
      <c r="Q21" s="1">
        <v>1061.05</v>
      </c>
      <c r="R21" s="13">
        <f t="shared" si="0"/>
        <v>1426.3124999999998</v>
      </c>
    </row>
    <row r="22" spans="1:18" x14ac:dyDescent="0.25">
      <c r="A22" s="1">
        <v>6</v>
      </c>
      <c r="B22" s="1" t="s">
        <v>29</v>
      </c>
      <c r="C22" s="1" t="s">
        <v>50</v>
      </c>
      <c r="D22" s="1" t="s">
        <v>22</v>
      </c>
      <c r="E22" s="1" t="s">
        <v>23</v>
      </c>
      <c r="F22" s="1" t="s">
        <v>24</v>
      </c>
      <c r="G22" s="1">
        <v>3.5</v>
      </c>
      <c r="H22" s="1" t="s">
        <v>84</v>
      </c>
      <c r="I22" s="1" t="s">
        <v>85</v>
      </c>
      <c r="J22" s="1" t="s">
        <v>25</v>
      </c>
      <c r="K22" s="13">
        <v>2</v>
      </c>
      <c r="L22" s="1" t="s">
        <v>83</v>
      </c>
      <c r="M22" s="13">
        <v>0.78</v>
      </c>
      <c r="N22" s="1" t="s">
        <v>27</v>
      </c>
      <c r="O22" s="1" t="s">
        <v>88</v>
      </c>
      <c r="P22" s="1">
        <v>7</v>
      </c>
      <c r="Q22" s="1">
        <v>1225.52</v>
      </c>
      <c r="R22" s="13">
        <f t="shared" si="0"/>
        <v>1631.8999999999999</v>
      </c>
    </row>
    <row r="23" spans="1:18" x14ac:dyDescent="0.25">
      <c r="A23" s="1">
        <v>6</v>
      </c>
      <c r="B23" s="1" t="s">
        <v>29</v>
      </c>
      <c r="C23" s="1" t="s">
        <v>51</v>
      </c>
      <c r="D23" s="1" t="s">
        <v>22</v>
      </c>
      <c r="E23" s="1" t="s">
        <v>23</v>
      </c>
      <c r="F23" s="1" t="s">
        <v>24</v>
      </c>
      <c r="G23" s="1">
        <v>2.5</v>
      </c>
      <c r="H23" s="1" t="s">
        <v>84</v>
      </c>
      <c r="I23" s="1" t="s">
        <v>85</v>
      </c>
      <c r="J23" s="1" t="s">
        <v>80</v>
      </c>
      <c r="K23" s="13">
        <v>2</v>
      </c>
      <c r="L23" s="1" t="s">
        <v>25</v>
      </c>
      <c r="M23" s="13">
        <v>0.25</v>
      </c>
      <c r="N23" s="1" t="s">
        <v>27</v>
      </c>
      <c r="O23" s="1" t="s">
        <v>88</v>
      </c>
      <c r="P23" s="1">
        <v>5</v>
      </c>
      <c r="Q23" s="1">
        <v>912.63</v>
      </c>
      <c r="R23" s="13">
        <f t="shared" si="0"/>
        <v>1240.7874999999999</v>
      </c>
    </row>
    <row r="24" spans="1:18" x14ac:dyDescent="0.25">
      <c r="A24" s="1">
        <v>6</v>
      </c>
      <c r="B24" s="1" t="s">
        <v>29</v>
      </c>
      <c r="C24" s="1" t="s">
        <v>52</v>
      </c>
      <c r="D24" s="1" t="s">
        <v>22</v>
      </c>
      <c r="E24" s="1" t="s">
        <v>23</v>
      </c>
      <c r="F24" s="1" t="s">
        <v>24</v>
      </c>
      <c r="G24" s="1">
        <v>3</v>
      </c>
      <c r="H24" s="1" t="s">
        <v>84</v>
      </c>
      <c r="I24" s="1" t="s">
        <v>85</v>
      </c>
      <c r="J24" s="1" t="s">
        <v>26</v>
      </c>
      <c r="K24" s="13">
        <v>2.5</v>
      </c>
      <c r="L24" s="1" t="s">
        <v>25</v>
      </c>
      <c r="M24" s="13">
        <v>0.435</v>
      </c>
      <c r="N24" s="1" t="s">
        <v>27</v>
      </c>
      <c r="O24" s="1" t="s">
        <v>88</v>
      </c>
      <c r="P24" s="1">
        <v>63</v>
      </c>
      <c r="Q24" s="1">
        <v>1123.1400000000001</v>
      </c>
      <c r="R24" s="13">
        <f t="shared" si="0"/>
        <v>1503.925</v>
      </c>
    </row>
    <row r="25" spans="1:18" x14ac:dyDescent="0.25">
      <c r="A25" s="1">
        <v>6</v>
      </c>
      <c r="B25" s="1" t="s">
        <v>29</v>
      </c>
      <c r="C25" s="1" t="s">
        <v>53</v>
      </c>
      <c r="D25" s="1" t="s">
        <v>22</v>
      </c>
      <c r="E25" s="1" t="s">
        <v>23</v>
      </c>
      <c r="F25" s="1" t="s">
        <v>24</v>
      </c>
      <c r="G25" s="1">
        <v>3.3</v>
      </c>
      <c r="H25" s="1" t="s">
        <v>84</v>
      </c>
      <c r="I25" s="1" t="s">
        <v>85</v>
      </c>
      <c r="J25" s="1" t="s">
        <v>25</v>
      </c>
      <c r="K25" s="13">
        <v>2.5</v>
      </c>
      <c r="L25" s="1" t="s">
        <v>32</v>
      </c>
      <c r="M25" s="13">
        <v>1.6</v>
      </c>
      <c r="N25" s="1" t="s">
        <v>27</v>
      </c>
      <c r="O25" s="1" t="s">
        <v>88</v>
      </c>
      <c r="P25" s="1">
        <v>21</v>
      </c>
      <c r="Q25" s="1">
        <v>1331.37</v>
      </c>
      <c r="R25" s="13">
        <f t="shared" si="0"/>
        <v>1764.2124999999999</v>
      </c>
    </row>
    <row r="26" spans="1:18" x14ac:dyDescent="0.25">
      <c r="A26" s="1">
        <v>6</v>
      </c>
      <c r="B26" s="1" t="s">
        <v>29</v>
      </c>
      <c r="C26" s="1" t="s">
        <v>54</v>
      </c>
      <c r="D26" s="1" t="s">
        <v>22</v>
      </c>
      <c r="E26" s="1" t="s">
        <v>23</v>
      </c>
      <c r="F26" s="1" t="s">
        <v>24</v>
      </c>
      <c r="G26" s="1">
        <v>3</v>
      </c>
      <c r="H26" s="1" t="s">
        <v>84</v>
      </c>
      <c r="I26" s="1" t="s">
        <v>85</v>
      </c>
      <c r="J26" s="1" t="s">
        <v>28</v>
      </c>
      <c r="K26" s="13">
        <v>2</v>
      </c>
      <c r="L26" s="1" t="s">
        <v>25</v>
      </c>
      <c r="M26" s="13">
        <v>0.35</v>
      </c>
      <c r="N26" s="1" t="s">
        <v>27</v>
      </c>
      <c r="O26" s="1" t="s">
        <v>88</v>
      </c>
      <c r="P26" s="1">
        <v>24</v>
      </c>
      <c r="Q26" s="1">
        <v>1050.32</v>
      </c>
      <c r="R26" s="13">
        <f t="shared" si="0"/>
        <v>1412.8999999999999</v>
      </c>
    </row>
    <row r="27" spans="1:18" x14ac:dyDescent="0.25">
      <c r="A27" s="1">
        <v>6</v>
      </c>
      <c r="B27" s="1" t="s">
        <v>29</v>
      </c>
      <c r="C27" s="1" t="s">
        <v>55</v>
      </c>
      <c r="D27" s="1" t="s">
        <v>22</v>
      </c>
      <c r="E27" s="1" t="s">
        <v>23</v>
      </c>
      <c r="F27" s="1" t="s">
        <v>24</v>
      </c>
      <c r="G27" s="1">
        <v>2.7</v>
      </c>
      <c r="H27" s="1" t="s">
        <v>84</v>
      </c>
      <c r="I27" s="1" t="s">
        <v>85</v>
      </c>
      <c r="J27" s="1" t="s">
        <v>80</v>
      </c>
      <c r="K27" s="13">
        <v>2</v>
      </c>
      <c r="L27" s="1" t="s">
        <v>25</v>
      </c>
      <c r="M27" s="13">
        <v>0.57499999999999996</v>
      </c>
      <c r="N27" s="1" t="s">
        <v>27</v>
      </c>
      <c r="O27" s="1" t="s">
        <v>88</v>
      </c>
      <c r="P27" s="1">
        <v>41</v>
      </c>
      <c r="Q27" s="1">
        <v>1000.11</v>
      </c>
      <c r="R27" s="13">
        <f t="shared" si="0"/>
        <v>1350.1375</v>
      </c>
    </row>
    <row r="28" spans="1:18" x14ac:dyDescent="0.25">
      <c r="A28" s="1">
        <v>6</v>
      </c>
      <c r="B28" s="1" t="s">
        <v>29</v>
      </c>
      <c r="C28" s="1" t="s">
        <v>56</v>
      </c>
      <c r="D28" s="1" t="s">
        <v>22</v>
      </c>
      <c r="E28" s="1" t="s">
        <v>23</v>
      </c>
      <c r="F28" s="1" t="s">
        <v>24</v>
      </c>
      <c r="G28" s="1">
        <v>3.2</v>
      </c>
      <c r="H28" s="1" t="s">
        <v>84</v>
      </c>
      <c r="I28" s="1" t="s">
        <v>85</v>
      </c>
      <c r="J28" s="1" t="s">
        <v>25</v>
      </c>
      <c r="K28" s="13">
        <v>1.5</v>
      </c>
      <c r="L28" s="1" t="s">
        <v>25</v>
      </c>
      <c r="M28" s="13">
        <v>0.32</v>
      </c>
      <c r="N28" s="1" t="s">
        <v>27</v>
      </c>
      <c r="O28" s="1" t="s">
        <v>88</v>
      </c>
      <c r="P28" s="1">
        <v>61</v>
      </c>
      <c r="Q28" s="1">
        <v>1034.27</v>
      </c>
      <c r="R28" s="13">
        <f t="shared" si="0"/>
        <v>1392.8374999999999</v>
      </c>
    </row>
    <row r="29" spans="1:18" x14ac:dyDescent="0.25">
      <c r="A29" s="1">
        <v>6</v>
      </c>
      <c r="B29" s="1" t="s">
        <v>29</v>
      </c>
      <c r="C29" s="1" t="s">
        <v>57</v>
      </c>
      <c r="D29" s="1" t="s">
        <v>22</v>
      </c>
      <c r="E29" s="1" t="s">
        <v>23</v>
      </c>
      <c r="F29" s="1" t="s">
        <v>24</v>
      </c>
      <c r="G29" s="1">
        <v>2.5</v>
      </c>
      <c r="H29" s="1" t="s">
        <v>84</v>
      </c>
      <c r="I29" s="1" t="s">
        <v>85</v>
      </c>
      <c r="J29" s="1" t="s">
        <v>25</v>
      </c>
      <c r="K29" s="13">
        <v>1.5</v>
      </c>
      <c r="L29" s="1" t="s">
        <v>25</v>
      </c>
      <c r="M29" s="13">
        <v>0.48</v>
      </c>
      <c r="N29" s="1" t="s">
        <v>27</v>
      </c>
      <c r="O29" s="1" t="s">
        <v>88</v>
      </c>
      <c r="P29" s="1">
        <v>33</v>
      </c>
      <c r="Q29" s="1">
        <v>875.62</v>
      </c>
      <c r="R29" s="13">
        <f t="shared" si="0"/>
        <v>1194.5249999999999</v>
      </c>
    </row>
    <row r="30" spans="1:18" x14ac:dyDescent="0.25">
      <c r="A30" s="1">
        <v>6</v>
      </c>
      <c r="B30" s="1" t="s">
        <v>29</v>
      </c>
      <c r="C30" s="1" t="s">
        <v>58</v>
      </c>
      <c r="D30" s="1" t="s">
        <v>22</v>
      </c>
      <c r="E30" s="1" t="s">
        <v>23</v>
      </c>
      <c r="F30" s="1" t="s">
        <v>24</v>
      </c>
      <c r="G30" s="1">
        <v>3</v>
      </c>
      <c r="H30" s="1" t="s">
        <v>84</v>
      </c>
      <c r="I30" s="1" t="s">
        <v>85</v>
      </c>
      <c r="J30" s="1" t="s">
        <v>82</v>
      </c>
      <c r="K30" s="13">
        <v>2</v>
      </c>
      <c r="L30" s="1" t="s">
        <v>87</v>
      </c>
      <c r="M30" s="13">
        <v>0.33</v>
      </c>
      <c r="N30" s="1" t="s">
        <v>27</v>
      </c>
      <c r="O30" s="1" t="s">
        <v>88</v>
      </c>
      <c r="P30" s="1">
        <v>3</v>
      </c>
      <c r="Q30" s="1">
        <v>1048.04</v>
      </c>
      <c r="R30" s="13">
        <f t="shared" si="0"/>
        <v>1410.05</v>
      </c>
    </row>
    <row r="31" spans="1:18" x14ac:dyDescent="0.25">
      <c r="A31" s="1">
        <v>6</v>
      </c>
      <c r="B31" s="1" t="s">
        <v>29</v>
      </c>
      <c r="C31" s="1" t="s">
        <v>59</v>
      </c>
      <c r="D31" s="1" t="s">
        <v>22</v>
      </c>
      <c r="E31" s="1" t="s">
        <v>23</v>
      </c>
      <c r="F31" s="1" t="s">
        <v>24</v>
      </c>
      <c r="G31" s="1">
        <v>3</v>
      </c>
      <c r="H31" s="1" t="s">
        <v>84</v>
      </c>
      <c r="I31" s="1" t="s">
        <v>85</v>
      </c>
      <c r="J31" s="1" t="s">
        <v>80</v>
      </c>
      <c r="K31" s="13">
        <v>2</v>
      </c>
      <c r="L31" s="1" t="s">
        <v>83</v>
      </c>
      <c r="M31" s="13">
        <v>0.72</v>
      </c>
      <c r="N31" s="1" t="s">
        <v>27</v>
      </c>
      <c r="O31" s="1" t="s">
        <v>88</v>
      </c>
      <c r="P31" s="1">
        <v>25</v>
      </c>
      <c r="Q31" s="1">
        <v>1092.3800000000001</v>
      </c>
      <c r="R31" s="13">
        <f t="shared" si="0"/>
        <v>1465.4750000000001</v>
      </c>
    </row>
    <row r="32" spans="1:18" x14ac:dyDescent="0.25">
      <c r="A32" s="1">
        <v>6</v>
      </c>
      <c r="B32" s="1" t="s">
        <v>29</v>
      </c>
      <c r="C32" s="1" t="s">
        <v>60</v>
      </c>
      <c r="D32" s="1" t="s">
        <v>22</v>
      </c>
      <c r="E32" s="1" t="s">
        <v>23</v>
      </c>
      <c r="F32" s="1" t="s">
        <v>24</v>
      </c>
      <c r="G32" s="1">
        <v>5</v>
      </c>
      <c r="H32" s="1" t="s">
        <v>84</v>
      </c>
      <c r="I32" s="1" t="s">
        <v>85</v>
      </c>
      <c r="J32" s="1" t="s">
        <v>83</v>
      </c>
      <c r="K32" s="13">
        <v>2</v>
      </c>
      <c r="M32" s="13"/>
      <c r="N32" s="1" t="s">
        <v>27</v>
      </c>
      <c r="O32" s="1" t="s">
        <v>88</v>
      </c>
      <c r="P32" s="1">
        <v>1</v>
      </c>
      <c r="Q32" s="1">
        <v>1515.79</v>
      </c>
      <c r="R32" s="13">
        <f t="shared" si="0"/>
        <v>1994.7375</v>
      </c>
    </row>
    <row r="33" spans="1:18" x14ac:dyDescent="0.25">
      <c r="A33" s="1">
        <v>6</v>
      </c>
      <c r="B33" s="1" t="s">
        <v>29</v>
      </c>
      <c r="C33" s="1" t="s">
        <v>61</v>
      </c>
      <c r="D33" s="1" t="s">
        <v>22</v>
      </c>
      <c r="E33" s="1" t="s">
        <v>23</v>
      </c>
      <c r="F33" s="1" t="s">
        <v>24</v>
      </c>
      <c r="G33" s="1">
        <v>4</v>
      </c>
      <c r="H33" s="1" t="s">
        <v>84</v>
      </c>
      <c r="I33" s="1" t="s">
        <v>85</v>
      </c>
      <c r="J33" s="1" t="s">
        <v>82</v>
      </c>
      <c r="K33" s="13">
        <v>2</v>
      </c>
      <c r="M33" s="13"/>
      <c r="N33" s="1" t="s">
        <v>27</v>
      </c>
      <c r="O33" s="1" t="s">
        <v>88</v>
      </c>
      <c r="P33" s="1">
        <v>1</v>
      </c>
      <c r="Q33" s="1">
        <v>1263.1600000000001</v>
      </c>
      <c r="R33" s="13">
        <f t="shared" si="0"/>
        <v>1678.95</v>
      </c>
    </row>
    <row r="34" spans="1:18" x14ac:dyDescent="0.25">
      <c r="A34" s="1">
        <v>6</v>
      </c>
      <c r="B34" s="1" t="s">
        <v>29</v>
      </c>
      <c r="C34" s="1" t="s">
        <v>62</v>
      </c>
      <c r="D34" s="1" t="s">
        <v>22</v>
      </c>
      <c r="E34" s="1" t="s">
        <v>23</v>
      </c>
      <c r="F34" s="1" t="s">
        <v>24</v>
      </c>
      <c r="G34" s="1">
        <v>2.5</v>
      </c>
      <c r="H34" s="1" t="s">
        <v>84</v>
      </c>
      <c r="I34" s="1" t="s">
        <v>85</v>
      </c>
      <c r="J34" s="1" t="s">
        <v>80</v>
      </c>
      <c r="K34" s="13">
        <v>2</v>
      </c>
      <c r="M34" s="13"/>
      <c r="N34" s="1" t="s">
        <v>27</v>
      </c>
      <c r="O34" s="1" t="s">
        <v>88</v>
      </c>
      <c r="P34" s="1">
        <v>1</v>
      </c>
      <c r="Q34" s="1">
        <v>884.21</v>
      </c>
      <c r="R34" s="13">
        <f t="shared" si="0"/>
        <v>1205.2625</v>
      </c>
    </row>
    <row r="35" spans="1:18" x14ac:dyDescent="0.25">
      <c r="A35" s="1">
        <v>6</v>
      </c>
      <c r="B35" s="1" t="s">
        <v>29</v>
      </c>
      <c r="C35" s="1" t="s">
        <v>63</v>
      </c>
      <c r="D35" s="1" t="s">
        <v>22</v>
      </c>
      <c r="E35" s="1" t="s">
        <v>23</v>
      </c>
      <c r="F35" s="1" t="s">
        <v>24</v>
      </c>
      <c r="G35" s="1">
        <v>3</v>
      </c>
      <c r="H35" s="1" t="s">
        <v>84</v>
      </c>
      <c r="I35" s="1" t="s">
        <v>85</v>
      </c>
      <c r="J35" s="1" t="s">
        <v>25</v>
      </c>
      <c r="K35" s="13">
        <v>2.5</v>
      </c>
      <c r="L35" s="1" t="s">
        <v>28</v>
      </c>
      <c r="M35" s="13">
        <v>0.52</v>
      </c>
      <c r="N35" s="1" t="s">
        <v>27</v>
      </c>
      <c r="O35" s="1" t="s">
        <v>88</v>
      </c>
      <c r="P35" s="1">
        <v>7</v>
      </c>
      <c r="Q35" s="1">
        <v>1132.8</v>
      </c>
      <c r="R35" s="13">
        <f t="shared" si="0"/>
        <v>1515.9999999999998</v>
      </c>
    </row>
    <row r="36" spans="1:18" x14ac:dyDescent="0.25">
      <c r="A36" s="1">
        <v>6</v>
      </c>
      <c r="B36" s="1" t="s">
        <v>29</v>
      </c>
      <c r="C36" s="1" t="s">
        <v>64</v>
      </c>
      <c r="D36" s="1" t="s">
        <v>22</v>
      </c>
      <c r="E36" s="1" t="s">
        <v>23</v>
      </c>
      <c r="F36" s="1" t="s">
        <v>24</v>
      </c>
      <c r="G36" s="1">
        <v>3.5</v>
      </c>
      <c r="H36" s="1" t="s">
        <v>84</v>
      </c>
      <c r="I36" s="1" t="s">
        <v>85</v>
      </c>
      <c r="J36" s="1" t="s">
        <v>25</v>
      </c>
      <c r="K36" s="13">
        <v>3.5</v>
      </c>
      <c r="L36" s="1" t="s">
        <v>83</v>
      </c>
      <c r="M36" s="13">
        <v>0.37</v>
      </c>
      <c r="N36" s="1" t="s">
        <v>27</v>
      </c>
      <c r="O36" s="1" t="s">
        <v>88</v>
      </c>
      <c r="P36" s="1">
        <v>5</v>
      </c>
      <c r="Q36" s="1">
        <v>1368.38</v>
      </c>
      <c r="R36" s="13">
        <f t="shared" si="0"/>
        <v>1810.4750000000001</v>
      </c>
    </row>
    <row r="37" spans="1:18" x14ac:dyDescent="0.25">
      <c r="A37" s="1">
        <v>6</v>
      </c>
      <c r="B37" s="1" t="s">
        <v>29</v>
      </c>
      <c r="C37" s="1" t="s">
        <v>65</v>
      </c>
      <c r="D37" s="1" t="s">
        <v>22</v>
      </c>
      <c r="E37" s="1" t="s">
        <v>23</v>
      </c>
      <c r="F37" s="1" t="s">
        <v>24</v>
      </c>
      <c r="G37" s="1">
        <v>3.5</v>
      </c>
      <c r="H37" s="1" t="s">
        <v>84</v>
      </c>
      <c r="I37" s="1" t="s">
        <v>85</v>
      </c>
      <c r="J37" s="1" t="s">
        <v>25</v>
      </c>
      <c r="K37" s="13">
        <v>3.5</v>
      </c>
      <c r="M37" s="13"/>
      <c r="N37" s="1" t="s">
        <v>27</v>
      </c>
      <c r="O37" s="1" t="s">
        <v>88</v>
      </c>
      <c r="P37" s="1">
        <v>1</v>
      </c>
      <c r="Q37" s="1">
        <v>1326.32</v>
      </c>
      <c r="R37" s="13">
        <f t="shared" si="0"/>
        <v>1757.8999999999999</v>
      </c>
    </row>
    <row r="38" spans="1:18" x14ac:dyDescent="0.25">
      <c r="A38" s="1">
        <v>6</v>
      </c>
      <c r="B38" s="1" t="s">
        <v>29</v>
      </c>
      <c r="C38" s="1" t="s">
        <v>66</v>
      </c>
      <c r="D38" s="1" t="s">
        <v>22</v>
      </c>
      <c r="E38" s="1" t="s">
        <v>23</v>
      </c>
      <c r="F38" s="1" t="s">
        <v>24</v>
      </c>
      <c r="G38" s="1">
        <v>4</v>
      </c>
      <c r="H38" s="1" t="s">
        <v>84</v>
      </c>
      <c r="I38" s="1" t="s">
        <v>85</v>
      </c>
      <c r="J38" s="1" t="s">
        <v>25</v>
      </c>
      <c r="K38" s="13">
        <v>2.5</v>
      </c>
      <c r="M38" s="13"/>
      <c r="N38" s="1" t="s">
        <v>27</v>
      </c>
      <c r="O38" s="1" t="s">
        <v>88</v>
      </c>
      <c r="P38" s="1">
        <v>1</v>
      </c>
      <c r="Q38" s="1">
        <v>1326.32</v>
      </c>
      <c r="R38" s="13">
        <f t="shared" si="0"/>
        <v>1757.8999999999999</v>
      </c>
    </row>
    <row r="39" spans="1:18" x14ac:dyDescent="0.25">
      <c r="A39" s="1">
        <v>6</v>
      </c>
      <c r="B39" s="1" t="s">
        <v>29</v>
      </c>
      <c r="C39" s="1" t="s">
        <v>67</v>
      </c>
      <c r="D39" s="1" t="s">
        <v>22</v>
      </c>
      <c r="E39" s="1" t="s">
        <v>23</v>
      </c>
      <c r="F39" s="1" t="s">
        <v>24</v>
      </c>
      <c r="G39" s="1">
        <v>3.4</v>
      </c>
      <c r="H39" s="1" t="s">
        <v>84</v>
      </c>
      <c r="I39" s="1" t="s">
        <v>85</v>
      </c>
      <c r="J39" s="1" t="s">
        <v>25</v>
      </c>
      <c r="K39" s="13">
        <v>2.5</v>
      </c>
      <c r="M39" s="13"/>
      <c r="N39" s="1" t="s">
        <v>27</v>
      </c>
      <c r="O39" s="1" t="s">
        <v>88</v>
      </c>
      <c r="P39" s="1">
        <v>1</v>
      </c>
      <c r="Q39" s="1">
        <v>1174.74</v>
      </c>
      <c r="R39" s="13">
        <f t="shared" si="0"/>
        <v>1568.425</v>
      </c>
    </row>
    <row r="40" spans="1:18" x14ac:dyDescent="0.25">
      <c r="A40" s="1">
        <v>6</v>
      </c>
      <c r="B40" s="1" t="s">
        <v>29</v>
      </c>
      <c r="C40" s="1" t="s">
        <v>68</v>
      </c>
      <c r="D40" s="1" t="s">
        <v>22</v>
      </c>
      <c r="E40" s="1" t="s">
        <v>23</v>
      </c>
      <c r="F40" s="1" t="s">
        <v>24</v>
      </c>
      <c r="G40" s="1">
        <v>3</v>
      </c>
      <c r="H40" s="1" t="s">
        <v>84</v>
      </c>
      <c r="I40" s="1" t="s">
        <v>85</v>
      </c>
      <c r="J40" s="1" t="s">
        <v>25</v>
      </c>
      <c r="K40" s="13">
        <v>1.5</v>
      </c>
      <c r="M40" s="13"/>
      <c r="N40" s="1" t="s">
        <v>27</v>
      </c>
      <c r="O40" s="1" t="s">
        <v>88</v>
      </c>
      <c r="P40" s="1">
        <v>1</v>
      </c>
      <c r="Q40" s="1">
        <v>947.37</v>
      </c>
      <c r="R40" s="13">
        <f t="shared" si="0"/>
        <v>1284.2124999999999</v>
      </c>
    </row>
    <row r="41" spans="1:18" x14ac:dyDescent="0.25">
      <c r="A41" s="1">
        <v>6</v>
      </c>
      <c r="B41" s="1" t="s">
        <v>29</v>
      </c>
      <c r="C41" s="1" t="s">
        <v>69</v>
      </c>
      <c r="D41" s="1" t="s">
        <v>22</v>
      </c>
      <c r="E41" s="1" t="s">
        <v>23</v>
      </c>
      <c r="F41" s="1" t="s">
        <v>93</v>
      </c>
      <c r="G41" s="1">
        <v>3.2</v>
      </c>
      <c r="H41" s="1" t="s">
        <v>84</v>
      </c>
      <c r="I41" s="1" t="s">
        <v>85</v>
      </c>
      <c r="J41" s="1" t="s">
        <v>25</v>
      </c>
      <c r="K41" s="13">
        <v>2</v>
      </c>
      <c r="M41" s="13"/>
      <c r="N41" s="1" t="s">
        <v>27</v>
      </c>
      <c r="O41" s="1" t="s">
        <v>88</v>
      </c>
      <c r="P41" s="1">
        <v>1</v>
      </c>
      <c r="Q41" s="1">
        <v>1061.05</v>
      </c>
      <c r="R41" s="13">
        <f t="shared" si="0"/>
        <v>1426.3124999999998</v>
      </c>
    </row>
    <row r="42" spans="1:18" x14ac:dyDescent="0.25">
      <c r="A42" s="1">
        <v>6</v>
      </c>
      <c r="B42" s="1" t="s">
        <v>29</v>
      </c>
      <c r="C42" s="1" t="s">
        <v>70</v>
      </c>
      <c r="D42" s="1" t="s">
        <v>22</v>
      </c>
      <c r="E42" s="1" t="s">
        <v>23</v>
      </c>
      <c r="F42" s="1" t="s">
        <v>93</v>
      </c>
      <c r="G42" s="1">
        <v>4</v>
      </c>
      <c r="H42" s="1" t="s">
        <v>84</v>
      </c>
      <c r="I42" s="1" t="s">
        <v>85</v>
      </c>
      <c r="J42" s="1" t="s">
        <v>26</v>
      </c>
      <c r="K42" s="13">
        <v>2</v>
      </c>
      <c r="M42" s="13"/>
      <c r="N42" s="1" t="s">
        <v>27</v>
      </c>
      <c r="O42" s="1" t="s">
        <v>88</v>
      </c>
      <c r="P42" s="1">
        <v>1</v>
      </c>
      <c r="Q42" s="1">
        <v>1263.1600000000001</v>
      </c>
      <c r="R42" s="13">
        <f t="shared" si="0"/>
        <v>1678.95</v>
      </c>
    </row>
    <row r="43" spans="1:18" x14ac:dyDescent="0.25">
      <c r="A43" s="1">
        <v>6</v>
      </c>
      <c r="B43" s="1" t="s">
        <v>29</v>
      </c>
      <c r="C43" s="1" t="s">
        <v>71</v>
      </c>
      <c r="D43" s="1" t="s">
        <v>22</v>
      </c>
      <c r="E43" s="1" t="s">
        <v>23</v>
      </c>
      <c r="F43" s="1" t="s">
        <v>24</v>
      </c>
      <c r="G43" s="1">
        <v>4.5</v>
      </c>
      <c r="H43" s="1" t="s">
        <v>84</v>
      </c>
      <c r="I43" s="1" t="s">
        <v>85</v>
      </c>
      <c r="J43" s="1" t="s">
        <v>31</v>
      </c>
      <c r="K43" s="13">
        <v>2</v>
      </c>
      <c r="M43" s="13"/>
      <c r="N43" s="1" t="s">
        <v>27</v>
      </c>
      <c r="O43" s="1" t="s">
        <v>88</v>
      </c>
      <c r="P43" s="1">
        <v>1</v>
      </c>
      <c r="Q43" s="1">
        <v>1389.47</v>
      </c>
      <c r="R43" s="13">
        <f t="shared" si="0"/>
        <v>1836.8374999999999</v>
      </c>
    </row>
    <row r="44" spans="1:18" x14ac:dyDescent="0.25">
      <c r="A44" s="1">
        <v>6</v>
      </c>
      <c r="B44" s="1" t="s">
        <v>29</v>
      </c>
      <c r="C44" s="1" t="s">
        <v>72</v>
      </c>
      <c r="D44" s="1" t="s">
        <v>22</v>
      </c>
      <c r="E44" s="1" t="s">
        <v>23</v>
      </c>
      <c r="F44" s="1" t="s">
        <v>24</v>
      </c>
      <c r="G44" s="1">
        <v>2.5</v>
      </c>
      <c r="H44" s="1" t="s">
        <v>84</v>
      </c>
      <c r="I44" s="1" t="s">
        <v>85</v>
      </c>
      <c r="J44" s="1" t="s">
        <v>28</v>
      </c>
      <c r="K44" s="13">
        <v>1.5</v>
      </c>
      <c r="M44" s="13"/>
      <c r="N44" s="1" t="s">
        <v>27</v>
      </c>
      <c r="O44" s="1" t="s">
        <v>88</v>
      </c>
      <c r="P44" s="1">
        <v>1</v>
      </c>
      <c r="Q44" s="1">
        <v>821.05</v>
      </c>
      <c r="R44" s="13">
        <f t="shared" si="0"/>
        <v>1126.3124999999998</v>
      </c>
    </row>
    <row r="45" spans="1:18" x14ac:dyDescent="0.25">
      <c r="A45" s="1">
        <v>6</v>
      </c>
      <c r="B45" s="1" t="s">
        <v>29</v>
      </c>
      <c r="C45" s="1" t="s">
        <v>73</v>
      </c>
      <c r="D45" s="1" t="s">
        <v>22</v>
      </c>
      <c r="E45" s="1" t="s">
        <v>23</v>
      </c>
      <c r="F45" s="1" t="s">
        <v>24</v>
      </c>
      <c r="G45" s="1">
        <v>2.7</v>
      </c>
      <c r="H45" s="1" t="s">
        <v>84</v>
      </c>
      <c r="I45" s="1" t="s">
        <v>85</v>
      </c>
      <c r="J45" s="1" t="s">
        <v>26</v>
      </c>
      <c r="K45" s="13">
        <v>1.5</v>
      </c>
      <c r="M45" s="13"/>
      <c r="N45" s="1" t="s">
        <v>27</v>
      </c>
      <c r="O45" s="1" t="s">
        <v>88</v>
      </c>
      <c r="P45" s="1">
        <v>1</v>
      </c>
      <c r="Q45" s="1">
        <v>871.58</v>
      </c>
      <c r="R45" s="13">
        <f t="shared" si="0"/>
        <v>1189.4749999999999</v>
      </c>
    </row>
    <row r="46" spans="1:18" x14ac:dyDescent="0.25">
      <c r="A46" s="1">
        <v>6</v>
      </c>
      <c r="B46" s="1" t="s">
        <v>29</v>
      </c>
      <c r="C46" s="1" t="s">
        <v>74</v>
      </c>
      <c r="D46" s="1" t="s">
        <v>22</v>
      </c>
      <c r="E46" s="1" t="s">
        <v>23</v>
      </c>
      <c r="F46" s="1" t="s">
        <v>24</v>
      </c>
      <c r="G46" s="1">
        <v>2.81</v>
      </c>
      <c r="H46" s="1" t="s">
        <v>84</v>
      </c>
      <c r="I46" s="1" t="s">
        <v>85</v>
      </c>
      <c r="J46" s="1" t="s">
        <v>31</v>
      </c>
      <c r="K46" s="13">
        <v>1.5</v>
      </c>
      <c r="M46" s="13"/>
      <c r="N46" s="1" t="s">
        <v>27</v>
      </c>
      <c r="O46" s="1" t="s">
        <v>88</v>
      </c>
      <c r="P46" s="1">
        <v>1</v>
      </c>
      <c r="Q46" s="1">
        <v>899.37</v>
      </c>
      <c r="R46" s="13">
        <f t="shared" si="0"/>
        <v>1224.2124999999999</v>
      </c>
    </row>
    <row r="47" spans="1:18" x14ac:dyDescent="0.25">
      <c r="A47" s="1">
        <v>6</v>
      </c>
      <c r="B47" s="1" t="s">
        <v>29</v>
      </c>
      <c r="C47" s="1" t="s">
        <v>75</v>
      </c>
      <c r="D47" s="1" t="s">
        <v>22</v>
      </c>
      <c r="E47" s="1" t="s">
        <v>23</v>
      </c>
      <c r="F47" s="1" t="s">
        <v>24</v>
      </c>
      <c r="G47" s="1">
        <v>2</v>
      </c>
      <c r="H47" s="1" t="s">
        <v>84</v>
      </c>
      <c r="I47" s="1" t="s">
        <v>85</v>
      </c>
      <c r="J47" s="1" t="s">
        <v>83</v>
      </c>
      <c r="K47" s="13">
        <v>2.5</v>
      </c>
      <c r="L47" s="1" t="s">
        <v>25</v>
      </c>
      <c r="M47" s="13">
        <v>0.45</v>
      </c>
      <c r="N47" s="1" t="s">
        <v>27</v>
      </c>
      <c r="O47" s="1" t="s">
        <v>88</v>
      </c>
      <c r="P47" s="1">
        <v>38</v>
      </c>
      <c r="Q47" s="1">
        <v>872.21</v>
      </c>
      <c r="R47" s="13">
        <f t="shared" si="0"/>
        <v>1190.2625</v>
      </c>
    </row>
    <row r="48" spans="1:18" x14ac:dyDescent="0.25">
      <c r="A48" s="1">
        <v>6</v>
      </c>
      <c r="B48" s="1" t="s">
        <v>29</v>
      </c>
      <c r="C48" s="1" t="s">
        <v>76</v>
      </c>
      <c r="D48" s="1" t="s">
        <v>22</v>
      </c>
      <c r="E48" s="1" t="s">
        <v>23</v>
      </c>
      <c r="F48" s="1" t="s">
        <v>24</v>
      </c>
      <c r="G48" s="1">
        <v>2</v>
      </c>
      <c r="H48" s="1" t="s">
        <v>84</v>
      </c>
      <c r="I48" s="1" t="s">
        <v>85</v>
      </c>
      <c r="J48" s="1" t="s">
        <v>80</v>
      </c>
      <c r="K48" s="13">
        <v>2.5</v>
      </c>
      <c r="L48" s="1" t="s">
        <v>25</v>
      </c>
      <c r="M48" s="13">
        <v>0.45</v>
      </c>
      <c r="N48" s="1" t="s">
        <v>27</v>
      </c>
      <c r="O48" s="1" t="s">
        <v>88</v>
      </c>
      <c r="P48" s="1">
        <v>38</v>
      </c>
      <c r="Q48" s="1">
        <v>872.21</v>
      </c>
      <c r="R48" s="13">
        <f t="shared" si="0"/>
        <v>1190.2625</v>
      </c>
    </row>
    <row r="49" spans="1:18" x14ac:dyDescent="0.25">
      <c r="A49" s="1">
        <v>6</v>
      </c>
      <c r="B49" s="1" t="s">
        <v>29</v>
      </c>
      <c r="C49" s="1" t="s">
        <v>77</v>
      </c>
      <c r="D49" s="1" t="s">
        <v>22</v>
      </c>
      <c r="E49" s="1" t="s">
        <v>23</v>
      </c>
      <c r="F49" s="1" t="s">
        <v>24</v>
      </c>
      <c r="G49" s="1">
        <v>2</v>
      </c>
      <c r="H49" s="1" t="s">
        <v>84</v>
      </c>
      <c r="I49" s="1" t="s">
        <v>85</v>
      </c>
      <c r="J49" s="1" t="s">
        <v>25</v>
      </c>
      <c r="K49" s="13">
        <v>2.5</v>
      </c>
      <c r="L49" s="1" t="s">
        <v>25</v>
      </c>
      <c r="M49" s="13">
        <v>0.45</v>
      </c>
      <c r="N49" s="1" t="s">
        <v>27</v>
      </c>
      <c r="O49" s="1" t="s">
        <v>88</v>
      </c>
      <c r="P49" s="1">
        <v>38</v>
      </c>
      <c r="Q49" s="1">
        <v>872.21</v>
      </c>
      <c r="R49" s="13">
        <f t="shared" si="0"/>
        <v>1190.2625</v>
      </c>
    </row>
    <row r="50" spans="1:18" x14ac:dyDescent="0.25">
      <c r="A50" s="1">
        <v>6</v>
      </c>
      <c r="B50" s="1" t="s">
        <v>29</v>
      </c>
      <c r="C50" s="1" t="s">
        <v>78</v>
      </c>
      <c r="D50" s="1" t="s">
        <v>22</v>
      </c>
      <c r="E50" s="1" t="s">
        <v>23</v>
      </c>
      <c r="F50" s="1" t="s">
        <v>24</v>
      </c>
      <c r="G50" s="1">
        <v>3.2</v>
      </c>
      <c r="H50" s="1" t="s">
        <v>84</v>
      </c>
      <c r="I50" s="1" t="s">
        <v>85</v>
      </c>
      <c r="J50" s="1" t="s">
        <v>26</v>
      </c>
      <c r="K50" s="13">
        <v>3</v>
      </c>
      <c r="L50" s="1" t="s">
        <v>25</v>
      </c>
      <c r="M50" s="13">
        <v>0.38</v>
      </c>
      <c r="N50" s="1" t="s">
        <v>27</v>
      </c>
      <c r="O50" s="1" t="s">
        <v>88</v>
      </c>
      <c r="P50" s="1">
        <v>34</v>
      </c>
      <c r="Q50" s="1">
        <v>1230.57</v>
      </c>
      <c r="R50" s="13">
        <f t="shared" si="0"/>
        <v>1638.2124999999999</v>
      </c>
    </row>
    <row r="51" spans="1:18" x14ac:dyDescent="0.25">
      <c r="A51" s="1">
        <v>6</v>
      </c>
      <c r="B51" s="1" t="s">
        <v>29</v>
      </c>
      <c r="C51" s="1" t="s">
        <v>79</v>
      </c>
      <c r="D51" s="1" t="s">
        <v>22</v>
      </c>
      <c r="E51" s="1" t="s">
        <v>23</v>
      </c>
      <c r="F51" s="1" t="s">
        <v>24</v>
      </c>
      <c r="G51" s="1">
        <v>3.2</v>
      </c>
      <c r="H51" s="1" t="s">
        <v>84</v>
      </c>
      <c r="I51" s="1" t="s">
        <v>85</v>
      </c>
      <c r="J51" s="1" t="s">
        <v>30</v>
      </c>
      <c r="K51" s="13">
        <v>3</v>
      </c>
      <c r="L51" s="1" t="s">
        <v>25</v>
      </c>
      <c r="M51" s="13">
        <v>0.38</v>
      </c>
      <c r="N51" s="1" t="s">
        <v>27</v>
      </c>
      <c r="O51" s="1" t="s">
        <v>88</v>
      </c>
      <c r="P51" s="1">
        <v>34</v>
      </c>
      <c r="Q51" s="1">
        <v>1230.57</v>
      </c>
      <c r="R51" s="13">
        <f t="shared" si="0"/>
        <v>1638.2124999999999</v>
      </c>
    </row>
  </sheetData>
  <autoFilter ref="P1" xr:uid="{00000000-0009-0000-0000-000000000000}"/>
  <pageMargins left="0.7" right="0.7" top="0.75" bottom="0.75" header="0.3" footer="0.3"/>
  <pageSetup orientation="portrait"/>
  <ignoredErrors>
    <ignoredError sqref="R2" unlocked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zoomScale="85" zoomScaleNormal="85" workbookViewId="0">
      <selection sqref="A1:XFD7"/>
    </sheetView>
  </sheetViews>
  <sheetFormatPr defaultRowHeight="15" x14ac:dyDescent="0.25"/>
  <cols>
    <col min="1" max="1" width="16.7109375" style="12" bestFit="1" customWidth="1"/>
    <col min="2" max="2" width="16.7109375" style="12" customWidth="1"/>
    <col min="3" max="3" width="15" style="12" bestFit="1" customWidth="1"/>
    <col min="4" max="4" width="9.28515625" style="12" bestFit="1" customWidth="1"/>
    <col min="5" max="5" width="13.140625" style="12" bestFit="1" customWidth="1"/>
    <col min="6" max="6" width="14.42578125" style="12" bestFit="1" customWidth="1"/>
    <col min="7" max="7" width="26.5703125" style="12" bestFit="1" customWidth="1"/>
    <col min="8" max="8" width="25.28515625" style="12" bestFit="1" customWidth="1"/>
    <col min="9" max="9" width="21.7109375" style="12" bestFit="1" customWidth="1"/>
    <col min="10" max="10" width="23.28515625" style="12" bestFit="1" customWidth="1"/>
    <col min="11" max="11" width="18.7109375" style="12" bestFit="1" customWidth="1"/>
    <col min="12" max="12" width="20.28515625" style="12" bestFit="1" customWidth="1"/>
    <col min="13" max="13" width="27.42578125" style="12" bestFit="1" customWidth="1"/>
    <col min="14" max="14" width="27.42578125" style="12" customWidth="1"/>
    <col min="15" max="15" width="21.42578125" style="12" bestFit="1" customWidth="1"/>
    <col min="16" max="16" width="10.28515625" style="12" bestFit="1" customWidth="1"/>
    <col min="17" max="17" width="19.140625" style="12" bestFit="1" customWidth="1"/>
    <col min="18" max="65" width="9.140625" style="12" customWidth="1"/>
    <col min="66" max="16384" width="9.140625" style="12"/>
  </cols>
  <sheetData>
    <row r="1" spans="1:18" s="1" customFormat="1" ht="15.75" customHeight="1" thickBot="1" x14ac:dyDescent="0.3">
      <c r="A1" s="1" t="s">
        <v>33</v>
      </c>
      <c r="B1" s="2" t="s">
        <v>0</v>
      </c>
      <c r="C1" s="3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14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3" t="s">
        <v>14</v>
      </c>
      <c r="Q1" s="4" t="s">
        <v>15</v>
      </c>
      <c r="R1" s="10" t="s">
        <v>16</v>
      </c>
    </row>
    <row r="2" spans="1:18" s="1" customFormat="1" x14ac:dyDescent="0.25">
      <c r="A2" s="1">
        <v>6</v>
      </c>
      <c r="B2" s="1" t="s">
        <v>94</v>
      </c>
      <c r="C2" s="1" t="s">
        <v>34</v>
      </c>
      <c r="D2" s="1" t="s">
        <v>22</v>
      </c>
      <c r="E2" s="1" t="s">
        <v>23</v>
      </c>
      <c r="F2" s="1" t="s">
        <v>24</v>
      </c>
      <c r="G2" s="1">
        <v>3.2</v>
      </c>
      <c r="H2" s="1" t="s">
        <v>84</v>
      </c>
      <c r="I2" s="1" t="s">
        <v>85</v>
      </c>
      <c r="J2" s="1" t="s">
        <v>25</v>
      </c>
      <c r="K2" s="13">
        <v>2.1</v>
      </c>
      <c r="L2" s="1" t="s">
        <v>25</v>
      </c>
      <c r="M2" s="13">
        <v>0.315</v>
      </c>
      <c r="N2" s="1" t="s">
        <v>27</v>
      </c>
      <c r="O2" s="1" t="s">
        <v>88</v>
      </c>
      <c r="P2" s="1">
        <v>27</v>
      </c>
      <c r="Q2" s="1">
        <v>1109.49</v>
      </c>
      <c r="R2" s="13">
        <f>(Q2+80)/0.8</f>
        <v>1486.8625</v>
      </c>
    </row>
    <row r="3" spans="1:18" s="1" customFormat="1" x14ac:dyDescent="0.25">
      <c r="A3" s="1">
        <v>6</v>
      </c>
      <c r="B3" s="1" t="s">
        <v>94</v>
      </c>
      <c r="C3" s="1" t="s">
        <v>35</v>
      </c>
      <c r="D3" s="1" t="s">
        <v>22</v>
      </c>
      <c r="E3" s="1" t="s">
        <v>23</v>
      </c>
      <c r="F3" s="1" t="s">
        <v>24</v>
      </c>
      <c r="G3" s="1">
        <v>3</v>
      </c>
      <c r="H3" s="1" t="s">
        <v>84</v>
      </c>
      <c r="I3" s="1" t="s">
        <v>85</v>
      </c>
      <c r="J3" s="1" t="s">
        <v>26</v>
      </c>
      <c r="K3" s="13">
        <v>1.3</v>
      </c>
      <c r="M3" s="13"/>
      <c r="N3" s="1" t="s">
        <v>27</v>
      </c>
      <c r="O3" s="1" t="s">
        <v>88</v>
      </c>
      <c r="P3" s="1">
        <v>2</v>
      </c>
      <c r="Q3" s="1">
        <v>922.11</v>
      </c>
      <c r="R3" s="13">
        <f t="shared" ref="R3:R7" si="0">(Q3+80)/0.8</f>
        <v>1252.6375</v>
      </c>
    </row>
    <row r="4" spans="1:18" s="1" customFormat="1" x14ac:dyDescent="0.25">
      <c r="A4" s="1">
        <v>6</v>
      </c>
      <c r="B4" s="1" t="s">
        <v>94</v>
      </c>
      <c r="C4" s="1" t="s">
        <v>36</v>
      </c>
      <c r="D4" s="1" t="s">
        <v>22</v>
      </c>
      <c r="E4" s="1" t="s">
        <v>23</v>
      </c>
      <c r="F4" s="1" t="s">
        <v>24</v>
      </c>
      <c r="G4" s="1">
        <v>3</v>
      </c>
      <c r="H4" s="1" t="s">
        <v>84</v>
      </c>
      <c r="I4" s="1" t="s">
        <v>85</v>
      </c>
      <c r="J4" s="1" t="s">
        <v>26</v>
      </c>
      <c r="K4" s="13">
        <v>1</v>
      </c>
      <c r="M4" s="13"/>
      <c r="N4" s="1" t="s">
        <v>27</v>
      </c>
      <c r="O4" s="1" t="s">
        <v>88</v>
      </c>
      <c r="P4" s="1">
        <v>2</v>
      </c>
      <c r="Q4" s="1">
        <v>884.21</v>
      </c>
      <c r="R4" s="13">
        <f t="shared" si="0"/>
        <v>1205.2625</v>
      </c>
    </row>
    <row r="5" spans="1:18" s="1" customFormat="1" x14ac:dyDescent="0.25">
      <c r="A5" s="1">
        <v>6</v>
      </c>
      <c r="B5" s="1" t="s">
        <v>94</v>
      </c>
      <c r="C5" s="1" t="s">
        <v>37</v>
      </c>
      <c r="D5" s="1" t="s">
        <v>22</v>
      </c>
      <c r="E5" s="1" t="s">
        <v>23</v>
      </c>
      <c r="F5" s="1" t="s">
        <v>24</v>
      </c>
      <c r="G5" s="1">
        <v>4.2</v>
      </c>
      <c r="H5" s="1" t="s">
        <v>84</v>
      </c>
      <c r="I5" s="1" t="s">
        <v>85</v>
      </c>
      <c r="J5" s="1" t="s">
        <v>86</v>
      </c>
      <c r="K5" s="13">
        <v>0.65</v>
      </c>
      <c r="L5" s="1" t="s">
        <v>25</v>
      </c>
      <c r="M5" s="13">
        <v>0.3</v>
      </c>
      <c r="N5" s="1" t="s">
        <v>27</v>
      </c>
      <c r="O5" s="1" t="s">
        <v>88</v>
      </c>
      <c r="P5" s="1">
        <v>60</v>
      </c>
      <c r="Q5" s="1">
        <v>1177.26</v>
      </c>
      <c r="R5" s="13">
        <f t="shared" si="0"/>
        <v>1571.5749999999998</v>
      </c>
    </row>
    <row r="6" spans="1:18" s="1" customFormat="1" x14ac:dyDescent="0.25">
      <c r="A6" s="1">
        <v>6</v>
      </c>
      <c r="B6" s="1" t="s">
        <v>94</v>
      </c>
      <c r="C6" s="1" t="s">
        <v>38</v>
      </c>
      <c r="D6" s="1" t="s">
        <v>22</v>
      </c>
      <c r="E6" s="1" t="s">
        <v>23</v>
      </c>
      <c r="F6" s="1" t="s">
        <v>24</v>
      </c>
      <c r="G6" s="1">
        <v>4.2</v>
      </c>
      <c r="H6" s="1" t="s">
        <v>84</v>
      </c>
      <c r="I6" s="1" t="s">
        <v>85</v>
      </c>
      <c r="J6" s="1" t="s">
        <v>25</v>
      </c>
      <c r="K6" s="13">
        <v>1</v>
      </c>
      <c r="L6" s="1" t="s">
        <v>25</v>
      </c>
      <c r="M6" s="13">
        <v>0.32</v>
      </c>
      <c r="N6" s="1" t="s">
        <v>27</v>
      </c>
      <c r="O6" s="1" t="s">
        <v>88</v>
      </c>
      <c r="P6" s="1">
        <v>35</v>
      </c>
      <c r="Q6" s="1">
        <v>1223.75</v>
      </c>
      <c r="R6" s="13">
        <f t="shared" si="0"/>
        <v>1629.6875</v>
      </c>
    </row>
    <row r="7" spans="1:18" s="1" customFormat="1" x14ac:dyDescent="0.25">
      <c r="A7" s="1">
        <v>6</v>
      </c>
      <c r="B7" s="1" t="s">
        <v>94</v>
      </c>
      <c r="C7" s="1" t="s">
        <v>39</v>
      </c>
      <c r="D7" s="1" t="s">
        <v>22</v>
      </c>
      <c r="E7" s="1" t="s">
        <v>23</v>
      </c>
      <c r="F7" s="1" t="s">
        <v>24</v>
      </c>
      <c r="G7" s="1">
        <v>3</v>
      </c>
      <c r="H7" s="1" t="s">
        <v>84</v>
      </c>
      <c r="I7" s="1" t="s">
        <v>85</v>
      </c>
      <c r="J7" s="1" t="s">
        <v>80</v>
      </c>
      <c r="K7" s="13">
        <v>1</v>
      </c>
      <c r="L7" s="1" t="s">
        <v>25</v>
      </c>
      <c r="M7" s="13">
        <v>0.55000000000000004</v>
      </c>
      <c r="N7" s="1" t="s">
        <v>27</v>
      </c>
      <c r="O7" s="1" t="s">
        <v>88</v>
      </c>
      <c r="P7" s="1">
        <v>13</v>
      </c>
      <c r="Q7" s="1">
        <v>946.74</v>
      </c>
      <c r="R7" s="13">
        <f t="shared" si="0"/>
        <v>1283.425</v>
      </c>
    </row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zoomScale="85" zoomScaleNormal="85" workbookViewId="0">
      <selection sqref="A1:XFD7"/>
    </sheetView>
  </sheetViews>
  <sheetFormatPr defaultColWidth="15.140625" defaultRowHeight="15" x14ac:dyDescent="0.25"/>
  <cols>
    <col min="1" max="1" width="16.140625" style="12" bestFit="1" customWidth="1"/>
    <col min="2" max="2" width="15" style="12" bestFit="1" customWidth="1"/>
    <col min="3" max="3" width="15" style="12" customWidth="1"/>
    <col min="4" max="4" width="9.140625" style="12" bestFit="1" customWidth="1"/>
    <col min="5" max="5" width="13.140625" style="12" bestFit="1" customWidth="1"/>
    <col min="6" max="6" width="14.42578125" style="12" bestFit="1" customWidth="1"/>
    <col min="7" max="7" width="26.5703125" style="12" bestFit="1" customWidth="1"/>
    <col min="8" max="8" width="25.28515625" style="12" bestFit="1" customWidth="1"/>
    <col min="9" max="9" width="21.7109375" style="12" bestFit="1" customWidth="1"/>
    <col min="10" max="10" width="23.28515625" style="12" bestFit="1" customWidth="1"/>
    <col min="11" max="11" width="18.7109375" style="12" bestFit="1" customWidth="1"/>
    <col min="12" max="12" width="20.28515625" style="12" bestFit="1" customWidth="1"/>
    <col min="13" max="13" width="27.42578125" style="12" bestFit="1" customWidth="1"/>
    <col min="14" max="14" width="27.42578125" style="12" customWidth="1"/>
    <col min="15" max="15" width="21.42578125" style="12" bestFit="1" customWidth="1"/>
    <col min="16" max="16" width="21.42578125" style="12" customWidth="1"/>
    <col min="17" max="17" width="10.28515625" style="12" bestFit="1" customWidth="1"/>
    <col min="18" max="18" width="19.140625" style="12" bestFit="1" customWidth="1"/>
    <col min="19" max="19" width="15.140625" style="12" customWidth="1"/>
    <col min="20" max="16384" width="15.140625" style="12"/>
  </cols>
  <sheetData>
    <row r="1" spans="1:18" s="1" customFormat="1" ht="15.75" customHeight="1" thickBot="1" x14ac:dyDescent="0.3">
      <c r="A1" s="1" t="s">
        <v>33</v>
      </c>
      <c r="B1" s="2" t="s">
        <v>0</v>
      </c>
      <c r="C1" s="3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14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3" t="s">
        <v>14</v>
      </c>
      <c r="Q1" s="4" t="s">
        <v>15</v>
      </c>
      <c r="R1" s="10" t="s">
        <v>16</v>
      </c>
    </row>
    <row r="2" spans="1:18" s="1" customFormat="1" x14ac:dyDescent="0.25">
      <c r="A2" s="1">
        <v>6</v>
      </c>
      <c r="B2" s="1" t="s">
        <v>95</v>
      </c>
      <c r="C2" s="1" t="s">
        <v>34</v>
      </c>
      <c r="D2" s="1" t="s">
        <v>22</v>
      </c>
      <c r="E2" s="1" t="s">
        <v>23</v>
      </c>
      <c r="F2" s="1" t="s">
        <v>24</v>
      </c>
      <c r="G2" s="1">
        <v>3.2</v>
      </c>
      <c r="H2" s="1" t="s">
        <v>84</v>
      </c>
      <c r="I2" s="1" t="s">
        <v>85</v>
      </c>
      <c r="J2" s="1" t="s">
        <v>25</v>
      </c>
      <c r="K2" s="13">
        <v>2.1</v>
      </c>
      <c r="L2" s="1" t="s">
        <v>25</v>
      </c>
      <c r="M2" s="13">
        <v>0.315</v>
      </c>
      <c r="N2" s="1" t="s">
        <v>27</v>
      </c>
      <c r="O2" s="1" t="s">
        <v>88</v>
      </c>
      <c r="P2" s="1">
        <v>27</v>
      </c>
      <c r="Q2" s="1">
        <v>1109.49</v>
      </c>
      <c r="R2" s="13">
        <f>(Q2+80)/0.8</f>
        <v>1486.8625</v>
      </c>
    </row>
    <row r="3" spans="1:18" s="1" customFormat="1" x14ac:dyDescent="0.25">
      <c r="A3" s="1">
        <v>6</v>
      </c>
      <c r="B3" s="1" t="s">
        <v>95</v>
      </c>
      <c r="C3" s="1" t="s">
        <v>35</v>
      </c>
      <c r="D3" s="1" t="s">
        <v>22</v>
      </c>
      <c r="E3" s="1" t="s">
        <v>23</v>
      </c>
      <c r="F3" s="1" t="s">
        <v>24</v>
      </c>
      <c r="G3" s="1">
        <v>3</v>
      </c>
      <c r="H3" s="1" t="s">
        <v>84</v>
      </c>
      <c r="I3" s="1" t="s">
        <v>85</v>
      </c>
      <c r="J3" s="1" t="s">
        <v>26</v>
      </c>
      <c r="K3" s="13">
        <v>1.3</v>
      </c>
      <c r="M3" s="13"/>
      <c r="N3" s="1" t="s">
        <v>27</v>
      </c>
      <c r="O3" s="1" t="s">
        <v>88</v>
      </c>
      <c r="P3" s="1">
        <v>2</v>
      </c>
      <c r="Q3" s="1">
        <v>922.11</v>
      </c>
      <c r="R3" s="13">
        <f t="shared" ref="R3:R7" si="0">(Q3+80)/0.8</f>
        <v>1252.6375</v>
      </c>
    </row>
    <row r="4" spans="1:18" s="1" customFormat="1" x14ac:dyDescent="0.25">
      <c r="A4" s="1">
        <v>6</v>
      </c>
      <c r="B4" s="1" t="s">
        <v>95</v>
      </c>
      <c r="C4" s="1" t="s">
        <v>36</v>
      </c>
      <c r="D4" s="1" t="s">
        <v>22</v>
      </c>
      <c r="E4" s="1" t="s">
        <v>23</v>
      </c>
      <c r="F4" s="1" t="s">
        <v>24</v>
      </c>
      <c r="G4" s="1">
        <v>3</v>
      </c>
      <c r="H4" s="1" t="s">
        <v>84</v>
      </c>
      <c r="I4" s="1" t="s">
        <v>85</v>
      </c>
      <c r="J4" s="1" t="s">
        <v>26</v>
      </c>
      <c r="K4" s="13">
        <v>1</v>
      </c>
      <c r="M4" s="13"/>
      <c r="N4" s="1" t="s">
        <v>27</v>
      </c>
      <c r="O4" s="1" t="s">
        <v>88</v>
      </c>
      <c r="P4" s="1">
        <v>2</v>
      </c>
      <c r="Q4" s="1">
        <v>884.21</v>
      </c>
      <c r="R4" s="13">
        <f t="shared" si="0"/>
        <v>1205.2625</v>
      </c>
    </row>
    <row r="5" spans="1:18" s="1" customFormat="1" x14ac:dyDescent="0.25">
      <c r="A5" s="1">
        <v>6</v>
      </c>
      <c r="B5" s="1" t="s">
        <v>95</v>
      </c>
      <c r="C5" s="1" t="s">
        <v>37</v>
      </c>
      <c r="D5" s="1" t="s">
        <v>22</v>
      </c>
      <c r="E5" s="1" t="s">
        <v>23</v>
      </c>
      <c r="F5" s="1" t="s">
        <v>24</v>
      </c>
      <c r="G5" s="1">
        <v>4.2</v>
      </c>
      <c r="H5" s="1" t="s">
        <v>84</v>
      </c>
      <c r="I5" s="1" t="s">
        <v>85</v>
      </c>
      <c r="J5" s="1" t="s">
        <v>86</v>
      </c>
      <c r="K5" s="13">
        <v>0.65</v>
      </c>
      <c r="L5" s="1" t="s">
        <v>25</v>
      </c>
      <c r="M5" s="13">
        <v>0.3</v>
      </c>
      <c r="N5" s="1" t="s">
        <v>27</v>
      </c>
      <c r="O5" s="1" t="s">
        <v>88</v>
      </c>
      <c r="P5" s="1">
        <v>60</v>
      </c>
      <c r="Q5" s="1">
        <v>1177.26</v>
      </c>
      <c r="R5" s="13">
        <f t="shared" si="0"/>
        <v>1571.5749999999998</v>
      </c>
    </row>
    <row r="6" spans="1:18" s="1" customFormat="1" x14ac:dyDescent="0.25">
      <c r="A6" s="1">
        <v>6</v>
      </c>
      <c r="B6" s="1" t="s">
        <v>95</v>
      </c>
      <c r="C6" s="1" t="s">
        <v>38</v>
      </c>
      <c r="D6" s="1" t="s">
        <v>22</v>
      </c>
      <c r="E6" s="1" t="s">
        <v>23</v>
      </c>
      <c r="F6" s="1" t="s">
        <v>24</v>
      </c>
      <c r="G6" s="1">
        <v>4.2</v>
      </c>
      <c r="H6" s="1" t="s">
        <v>84</v>
      </c>
      <c r="I6" s="1" t="s">
        <v>85</v>
      </c>
      <c r="J6" s="1" t="s">
        <v>25</v>
      </c>
      <c r="K6" s="13">
        <v>1</v>
      </c>
      <c r="L6" s="1" t="s">
        <v>25</v>
      </c>
      <c r="M6" s="13">
        <v>0.32</v>
      </c>
      <c r="N6" s="1" t="s">
        <v>27</v>
      </c>
      <c r="O6" s="1" t="s">
        <v>88</v>
      </c>
      <c r="P6" s="1">
        <v>35</v>
      </c>
      <c r="Q6" s="1">
        <v>1223.75</v>
      </c>
      <c r="R6" s="13">
        <f t="shared" si="0"/>
        <v>1629.6875</v>
      </c>
    </row>
    <row r="7" spans="1:18" s="1" customFormat="1" x14ac:dyDescent="0.25">
      <c r="A7" s="1">
        <v>6</v>
      </c>
      <c r="B7" s="1" t="s">
        <v>95</v>
      </c>
      <c r="C7" s="1" t="s">
        <v>39</v>
      </c>
      <c r="D7" s="1" t="s">
        <v>22</v>
      </c>
      <c r="E7" s="1" t="s">
        <v>23</v>
      </c>
      <c r="F7" s="1" t="s">
        <v>24</v>
      </c>
      <c r="G7" s="1">
        <v>3</v>
      </c>
      <c r="H7" s="1" t="s">
        <v>84</v>
      </c>
      <c r="I7" s="1" t="s">
        <v>85</v>
      </c>
      <c r="J7" s="1" t="s">
        <v>80</v>
      </c>
      <c r="K7" s="13">
        <v>1</v>
      </c>
      <c r="L7" s="1" t="s">
        <v>25</v>
      </c>
      <c r="M7" s="13">
        <v>0.55000000000000004</v>
      </c>
      <c r="N7" s="1" t="s">
        <v>27</v>
      </c>
      <c r="O7" s="1" t="s">
        <v>88</v>
      </c>
      <c r="P7" s="1">
        <v>13</v>
      </c>
      <c r="Q7" s="1">
        <v>946.74</v>
      </c>
      <c r="R7" s="13">
        <f t="shared" si="0"/>
        <v>1283.425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tabSelected="1" zoomScale="85" zoomScaleNormal="85" workbookViewId="0">
      <selection activeCell="B2" sqref="B2:B7"/>
    </sheetView>
  </sheetViews>
  <sheetFormatPr defaultRowHeight="15" x14ac:dyDescent="0.25"/>
  <cols>
    <col min="1" max="1" width="16.28515625" bestFit="1" customWidth="1"/>
    <col min="2" max="2" width="15" bestFit="1" customWidth="1"/>
    <col min="4" max="4" width="13.140625" bestFit="1" customWidth="1"/>
    <col min="5" max="5" width="14.42578125" bestFit="1" customWidth="1"/>
    <col min="6" max="6" width="26.5703125" bestFit="1" customWidth="1"/>
    <col min="7" max="7" width="25.28515625" bestFit="1" customWidth="1"/>
    <col min="8" max="8" width="21.7109375" bestFit="1" customWidth="1"/>
    <col min="9" max="9" width="23.28515625" bestFit="1" customWidth="1"/>
    <col min="10" max="10" width="18.7109375" bestFit="1" customWidth="1"/>
    <col min="11" max="11" width="20.28515625" bestFit="1" customWidth="1"/>
    <col min="12" max="12" width="27.42578125" bestFit="1" customWidth="1"/>
    <col min="13" max="13" width="27.42578125" customWidth="1"/>
    <col min="14" max="14" width="21.42578125" bestFit="1" customWidth="1"/>
    <col min="15" max="15" width="14.85546875" bestFit="1" customWidth="1"/>
    <col min="16" max="16" width="10.28515625" bestFit="1" customWidth="1"/>
    <col min="17" max="17" width="19.140625" bestFit="1" customWidth="1"/>
  </cols>
  <sheetData>
    <row r="1" spans="1:18" s="1" customFormat="1" ht="15.75" customHeight="1" thickBot="1" x14ac:dyDescent="0.3">
      <c r="A1" s="1" t="s">
        <v>33</v>
      </c>
      <c r="B1" s="2" t="s">
        <v>0</v>
      </c>
      <c r="C1" s="3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14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3" t="s">
        <v>14</v>
      </c>
      <c r="Q1" s="4" t="s">
        <v>15</v>
      </c>
      <c r="R1" s="10" t="s">
        <v>16</v>
      </c>
    </row>
    <row r="2" spans="1:18" s="1" customFormat="1" x14ac:dyDescent="0.25">
      <c r="A2" s="1">
        <v>6</v>
      </c>
      <c r="B2" s="1" t="s">
        <v>96</v>
      </c>
      <c r="C2" s="1" t="s">
        <v>34</v>
      </c>
      <c r="D2" s="1" t="s">
        <v>22</v>
      </c>
      <c r="E2" s="1" t="s">
        <v>23</v>
      </c>
      <c r="F2" s="1" t="s">
        <v>24</v>
      </c>
      <c r="G2" s="1">
        <v>3.2</v>
      </c>
      <c r="H2" s="1" t="s">
        <v>84</v>
      </c>
      <c r="I2" s="1" t="s">
        <v>85</v>
      </c>
      <c r="J2" s="1" t="s">
        <v>25</v>
      </c>
      <c r="K2" s="13">
        <v>2.1</v>
      </c>
      <c r="L2" s="1" t="s">
        <v>25</v>
      </c>
      <c r="M2" s="13">
        <v>0.315</v>
      </c>
      <c r="N2" s="1" t="s">
        <v>27</v>
      </c>
      <c r="O2" s="1" t="s">
        <v>88</v>
      </c>
      <c r="P2" s="1">
        <v>27</v>
      </c>
      <c r="Q2" s="1">
        <v>1109.49</v>
      </c>
      <c r="R2" s="13">
        <f>(Q2+80)/0.8</f>
        <v>1486.8625</v>
      </c>
    </row>
    <row r="3" spans="1:18" s="1" customFormat="1" x14ac:dyDescent="0.25">
      <c r="A3" s="1">
        <v>6</v>
      </c>
      <c r="B3" s="1" t="s">
        <v>96</v>
      </c>
      <c r="C3" s="1" t="s">
        <v>35</v>
      </c>
      <c r="D3" s="1" t="s">
        <v>22</v>
      </c>
      <c r="E3" s="1" t="s">
        <v>23</v>
      </c>
      <c r="F3" s="1" t="s">
        <v>24</v>
      </c>
      <c r="G3" s="1">
        <v>3</v>
      </c>
      <c r="H3" s="1" t="s">
        <v>84</v>
      </c>
      <c r="I3" s="1" t="s">
        <v>85</v>
      </c>
      <c r="J3" s="1" t="s">
        <v>26</v>
      </c>
      <c r="K3" s="13">
        <v>1.3</v>
      </c>
      <c r="M3" s="13"/>
      <c r="N3" s="1" t="s">
        <v>27</v>
      </c>
      <c r="O3" s="1" t="s">
        <v>88</v>
      </c>
      <c r="P3" s="1">
        <v>2</v>
      </c>
      <c r="Q3" s="1">
        <v>922.11</v>
      </c>
      <c r="R3" s="13">
        <f t="shared" ref="R3:R7" si="0">(Q3+80)/0.8</f>
        <v>1252.6375</v>
      </c>
    </row>
    <row r="4" spans="1:18" s="1" customFormat="1" x14ac:dyDescent="0.25">
      <c r="A4" s="1">
        <v>6</v>
      </c>
      <c r="B4" s="1" t="s">
        <v>96</v>
      </c>
      <c r="C4" s="1" t="s">
        <v>36</v>
      </c>
      <c r="D4" s="1" t="s">
        <v>22</v>
      </c>
      <c r="E4" s="1" t="s">
        <v>23</v>
      </c>
      <c r="F4" s="1" t="s">
        <v>24</v>
      </c>
      <c r="G4" s="1">
        <v>3</v>
      </c>
      <c r="H4" s="1" t="s">
        <v>84</v>
      </c>
      <c r="I4" s="1" t="s">
        <v>85</v>
      </c>
      <c r="J4" s="1" t="s">
        <v>26</v>
      </c>
      <c r="K4" s="13">
        <v>1</v>
      </c>
      <c r="M4" s="13"/>
      <c r="N4" s="1" t="s">
        <v>27</v>
      </c>
      <c r="O4" s="1" t="s">
        <v>88</v>
      </c>
      <c r="P4" s="1">
        <v>2</v>
      </c>
      <c r="Q4" s="1">
        <v>884.21</v>
      </c>
      <c r="R4" s="13">
        <f t="shared" si="0"/>
        <v>1205.2625</v>
      </c>
    </row>
    <row r="5" spans="1:18" s="1" customFormat="1" x14ac:dyDescent="0.25">
      <c r="A5" s="1">
        <v>6</v>
      </c>
      <c r="B5" s="1" t="s">
        <v>96</v>
      </c>
      <c r="C5" s="1" t="s">
        <v>37</v>
      </c>
      <c r="D5" s="1" t="s">
        <v>22</v>
      </c>
      <c r="E5" s="1" t="s">
        <v>23</v>
      </c>
      <c r="F5" s="1" t="s">
        <v>24</v>
      </c>
      <c r="G5" s="1">
        <v>4.2</v>
      </c>
      <c r="H5" s="1" t="s">
        <v>84</v>
      </c>
      <c r="I5" s="1" t="s">
        <v>85</v>
      </c>
      <c r="J5" s="1" t="s">
        <v>86</v>
      </c>
      <c r="K5" s="13">
        <v>0.65</v>
      </c>
      <c r="L5" s="1" t="s">
        <v>25</v>
      </c>
      <c r="M5" s="13">
        <v>0.3</v>
      </c>
      <c r="N5" s="1" t="s">
        <v>27</v>
      </c>
      <c r="O5" s="1" t="s">
        <v>88</v>
      </c>
      <c r="P5" s="1">
        <v>60</v>
      </c>
      <c r="Q5" s="1">
        <v>1177.26</v>
      </c>
      <c r="R5" s="13">
        <f t="shared" si="0"/>
        <v>1571.5749999999998</v>
      </c>
    </row>
    <row r="6" spans="1:18" s="1" customFormat="1" x14ac:dyDescent="0.25">
      <c r="A6" s="1">
        <v>6</v>
      </c>
      <c r="B6" s="1" t="s">
        <v>96</v>
      </c>
      <c r="C6" s="1" t="s">
        <v>38</v>
      </c>
      <c r="D6" s="1" t="s">
        <v>22</v>
      </c>
      <c r="E6" s="1" t="s">
        <v>23</v>
      </c>
      <c r="F6" s="1" t="s">
        <v>24</v>
      </c>
      <c r="G6" s="1">
        <v>4.2</v>
      </c>
      <c r="H6" s="1" t="s">
        <v>84</v>
      </c>
      <c r="I6" s="1" t="s">
        <v>85</v>
      </c>
      <c r="J6" s="1" t="s">
        <v>25</v>
      </c>
      <c r="K6" s="13">
        <v>1</v>
      </c>
      <c r="L6" s="1" t="s">
        <v>25</v>
      </c>
      <c r="M6" s="13">
        <v>0.32</v>
      </c>
      <c r="N6" s="1" t="s">
        <v>27</v>
      </c>
      <c r="O6" s="1" t="s">
        <v>88</v>
      </c>
      <c r="P6" s="1">
        <v>35</v>
      </c>
      <c r="Q6" s="1">
        <v>1223.75</v>
      </c>
      <c r="R6" s="13">
        <f t="shared" si="0"/>
        <v>1629.6875</v>
      </c>
    </row>
    <row r="7" spans="1:18" s="1" customFormat="1" x14ac:dyDescent="0.25">
      <c r="A7" s="1">
        <v>6</v>
      </c>
      <c r="B7" s="1" t="s">
        <v>96</v>
      </c>
      <c r="C7" s="1" t="s">
        <v>39</v>
      </c>
      <c r="D7" s="1" t="s">
        <v>22</v>
      </c>
      <c r="E7" s="1" t="s">
        <v>23</v>
      </c>
      <c r="F7" s="1" t="s">
        <v>24</v>
      </c>
      <c r="G7" s="1">
        <v>3</v>
      </c>
      <c r="H7" s="1" t="s">
        <v>84</v>
      </c>
      <c r="I7" s="1" t="s">
        <v>85</v>
      </c>
      <c r="J7" s="1" t="s">
        <v>80</v>
      </c>
      <c r="K7" s="13">
        <v>1</v>
      </c>
      <c r="L7" s="1" t="s">
        <v>25</v>
      </c>
      <c r="M7" s="13">
        <v>0.55000000000000004</v>
      </c>
      <c r="N7" s="1" t="s">
        <v>27</v>
      </c>
      <c r="O7" s="1" t="s">
        <v>88</v>
      </c>
      <c r="P7" s="1">
        <v>13</v>
      </c>
      <c r="Q7" s="1">
        <v>946.74</v>
      </c>
      <c r="R7" s="13">
        <f t="shared" si="0"/>
        <v>1283.425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Normal="100" workbookViewId="0">
      <selection activeCell="C3" sqref="C3"/>
    </sheetView>
  </sheetViews>
  <sheetFormatPr defaultRowHeight="15" x14ac:dyDescent="0.25"/>
  <cols>
    <col min="1" max="1" width="16.7109375" bestFit="1" customWidth="1"/>
    <col min="6" max="6" width="14.85546875" bestFit="1" customWidth="1"/>
    <col min="7" max="7" width="18.85546875" bestFit="1" customWidth="1"/>
    <col min="8" max="8" width="5.5703125" bestFit="1" customWidth="1"/>
  </cols>
  <sheetData>
    <row r="1" spans="1:8" ht="15.75" customHeight="1" thickBot="1" x14ac:dyDescent="0.3">
      <c r="A1" t="s">
        <v>17</v>
      </c>
      <c r="B1" t="s">
        <v>18</v>
      </c>
      <c r="C1" t="s">
        <v>19</v>
      </c>
    </row>
    <row r="2" spans="1:8" ht="15.75" customHeight="1" thickBot="1" x14ac:dyDescent="0.3">
      <c r="A2">
        <v>25</v>
      </c>
      <c r="B2">
        <v>15</v>
      </c>
      <c r="C2">
        <v>15</v>
      </c>
      <c r="F2" s="8" t="s">
        <v>20</v>
      </c>
      <c r="G2" s="10" t="s">
        <v>16</v>
      </c>
      <c r="H2" s="11" t="s">
        <v>21</v>
      </c>
    </row>
    <row r="3" spans="1:8" x14ac:dyDescent="0.25">
      <c r="E3">
        <v>10</v>
      </c>
      <c r="F3" s="9">
        <f>(G3*(1-H3%))*(1-BACKEND!$B$2%)</f>
        <v>13.333333333333332</v>
      </c>
      <c r="G3" s="9">
        <f>(E3/(100-BACKEND!$A$2)*100)/(100-BACKEND!$B$2)*100</f>
        <v>15.686274509803921</v>
      </c>
      <c r="H3" s="9">
        <v>0</v>
      </c>
    </row>
    <row r="4" spans="1:8" x14ac:dyDescent="0.25">
      <c r="G4" s="1"/>
      <c r="H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</vt:lpstr>
      <vt:lpstr>EARRINGS</vt:lpstr>
      <vt:lpstr>PENDANT</vt:lpstr>
      <vt:lpstr>BRACELET</vt:lpstr>
      <vt:lpstr>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</dc:creator>
  <cp:lastModifiedBy>Priyank Ajudiya</cp:lastModifiedBy>
  <dcterms:created xsi:type="dcterms:W3CDTF">2015-06-05T18:17:20Z</dcterms:created>
  <dcterms:modified xsi:type="dcterms:W3CDTF">2026-10-14T02:03:47Z</dcterms:modified>
</cp:coreProperties>
</file>